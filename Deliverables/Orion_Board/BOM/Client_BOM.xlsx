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SH-CircuitCorrections\Deliverables\Orion_Board\BOM\"/>
    </mc:Choice>
  </mc:AlternateContent>
  <bookViews>
    <workbookView xWindow="0" yWindow="0" windowWidth="24000" windowHeight="97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32" i="1" l="1"/>
  <c r="O33" i="1"/>
  <c r="Q31" i="1"/>
  <c r="O31" i="1"/>
  <c r="Q30" i="1"/>
  <c r="O30" i="1"/>
  <c r="Q29" i="1"/>
  <c r="O29" i="1"/>
  <c r="Q27" i="1"/>
  <c r="O27" i="1"/>
  <c r="Q26" i="1"/>
  <c r="O26" i="1"/>
  <c r="Q24" i="1"/>
  <c r="O24" i="1"/>
  <c r="Q23" i="1"/>
  <c r="O23" i="1"/>
  <c r="Q22" i="1"/>
  <c r="O22" i="1"/>
  <c r="Q21" i="1"/>
  <c r="O21" i="1"/>
  <c r="Q20" i="1"/>
  <c r="O20" i="1"/>
  <c r="Q19" i="1"/>
  <c r="O19" i="1"/>
  <c r="Q18" i="1"/>
  <c r="O18" i="1"/>
  <c r="Q17" i="1"/>
  <c r="O17" i="1"/>
  <c r="Q16" i="1"/>
  <c r="O16" i="1"/>
  <c r="Q14" i="1"/>
  <c r="O14" i="1"/>
  <c r="Q13" i="1"/>
  <c r="O13" i="1"/>
  <c r="Q15" i="1"/>
  <c r="O15" i="1"/>
  <c r="Q12" i="1"/>
  <c r="O12" i="1"/>
  <c r="Q11" i="1"/>
  <c r="O11" i="1"/>
  <c r="Q10" i="1"/>
  <c r="O10" i="1"/>
  <c r="Q9" i="1"/>
  <c r="O9" i="1"/>
  <c r="Q4" i="1"/>
  <c r="O4" i="1"/>
  <c r="Q25" i="1"/>
  <c r="O25" i="1"/>
  <c r="Q8" i="1"/>
  <c r="O8" i="1"/>
  <c r="Q3" i="1"/>
  <c r="O3" i="1"/>
  <c r="Q7" i="1"/>
  <c r="O7" i="1"/>
  <c r="Q6" i="1"/>
  <c r="O6" i="1"/>
  <c r="Q5" i="1"/>
  <c r="O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" i="1"/>
  <c r="Q33" i="1" l="1"/>
</calcChain>
</file>

<file path=xl/sharedStrings.xml><?xml version="1.0" encoding="utf-8"?>
<sst xmlns="http://schemas.openxmlformats.org/spreadsheetml/2006/main" count="265" uniqueCount="178">
  <si>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</si>
  <si>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</si>
  <si>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</si>
  <si>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</si>
  <si>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</si>
  <si>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</si>
  <si>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</si>
  <si>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</si>
  <si>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</si>
  <si>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</si>
  <si>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(20 boards)</t>
  </si>
  <si>
    <t>LCSC/MOQ</t>
  </si>
  <si>
    <t>LCSC Link</t>
  </si>
  <si>
    <t>Unit Cost(1)</t>
  </si>
  <si>
    <t>Total Cost(1)</t>
  </si>
  <si>
    <t>Unit Cost (20 Boards)</t>
  </si>
  <si>
    <t>Total Cost (20)</t>
  </si>
  <si>
    <t>Remarks</t>
  </si>
  <si>
    <t>Capacitor</t>
  </si>
  <si>
    <t>33uF</t>
  </si>
  <si>
    <t>RES 560 OHM 1% 1/2W 1210</t>
  </si>
  <si>
    <t>RES 1210</t>
  </si>
  <si>
    <t>RC1210FR-07560RL</t>
  </si>
  <si>
    <t>RES 0805</t>
  </si>
  <si>
    <t>0805W8F1002T5E</t>
  </si>
  <si>
    <t>IC</t>
  </si>
  <si>
    <t>CAP CER 0.1UF 25V X5R 0201</t>
  </si>
  <si>
    <t>CAP 0201</t>
  </si>
  <si>
    <t>GRM033R61E104KE14D</t>
  </si>
  <si>
    <t>CAP CER 2.2UF 25V X5R 0402</t>
  </si>
  <si>
    <t>Cap0402</t>
  </si>
  <si>
    <t>C1005X5R1E225KT000E</t>
  </si>
  <si>
    <t>50V 220pF X7R ±10% 0201 Multilayer Ceramic Capacitors MLCC - SMD/SMT ROHS</t>
  </si>
  <si>
    <t>C0603X7R221KGT</t>
  </si>
  <si>
    <t>CAP CER 4.7UF 25V X5R 0603</t>
  </si>
  <si>
    <t>Cap0603</t>
  </si>
  <si>
    <t>C1608X5R1E475K080AC</t>
  </si>
  <si>
    <t>Cap1206</t>
  </si>
  <si>
    <t>DIODE SCHOTTKY 20V 2A SOD323</t>
  </si>
  <si>
    <t>SDM2U20SD3-7</t>
  </si>
  <si>
    <t>FIXED IND 10UH 1.3A 390.5MOHM SM</t>
  </si>
  <si>
    <t>L1, L2</t>
  </si>
  <si>
    <t>SPM5012T-100M-LR</t>
  </si>
  <si>
    <t>51kΩ 0201 Chip Resistor</t>
  </si>
  <si>
    <t>Res-0201</t>
  </si>
  <si>
    <t>0201WMF5102TEE</t>
  </si>
  <si>
    <t>715kΩ 0201 Chip Resistor</t>
  </si>
  <si>
    <t>0201WMF7153TEE</t>
  </si>
  <si>
    <t>13kΩ 0201 Chip Resistor</t>
  </si>
  <si>
    <t>NQ01WMJ0133TEE</t>
  </si>
  <si>
    <t>0.1uF</t>
  </si>
  <si>
    <t>2.2uF</t>
  </si>
  <si>
    <t>220pF</t>
  </si>
  <si>
    <t>4.7uF</t>
  </si>
  <si>
    <t>10uH</t>
  </si>
  <si>
    <t>Diode</t>
  </si>
  <si>
    <t>Connector</t>
  </si>
  <si>
    <t>Total Component Cost</t>
  </si>
  <si>
    <t>Single Board Cost</t>
  </si>
  <si>
    <t>CAP CER 10000PF 100V X7R 1206</t>
  </si>
  <si>
    <t>CAP ALUM 33UF 20% 25V SMD</t>
  </si>
  <si>
    <t>CAP CER 0.1UF 50V X5R 0402</t>
  </si>
  <si>
    <t>C1, C2</t>
  </si>
  <si>
    <t>CC1206KRX7R0BB103</t>
  </si>
  <si>
    <t>C3</t>
  </si>
  <si>
    <t>EEE-HB1E330AP</t>
  </si>
  <si>
    <t>C5, C11</t>
  </si>
  <si>
    <t>C6, C8</t>
  </si>
  <si>
    <t>C7, C9</t>
  </si>
  <si>
    <t>C12, C14</t>
  </si>
  <si>
    <t>C1005X5R1H104K050BB</t>
  </si>
  <si>
    <t>10000PF</t>
  </si>
  <si>
    <t>1A 5μA 1kV 1kV 1.1V 1A SMA(DO-214AC) Diodes - General Purpose ROHS</t>
  </si>
  <si>
    <t>D1</t>
  </si>
  <si>
    <t>SMA</t>
  </si>
  <si>
    <t>M7</t>
  </si>
  <si>
    <t>D2, D3</t>
  </si>
  <si>
    <t>PTC RESET FUSE 30V 1.35A RADIAL</t>
  </si>
  <si>
    <t>F1</t>
  </si>
  <si>
    <t>30R135UPR</t>
  </si>
  <si>
    <t xml:space="preserve">Fuse </t>
  </si>
  <si>
    <t>Inductor</t>
  </si>
  <si>
    <t>MOSFET N-CHANNEL 60V (D-S)</t>
  </si>
  <si>
    <t>Q1, Q2, Q3</t>
  </si>
  <si>
    <t>SQ2308CES-T1_BE3</t>
  </si>
  <si>
    <t>R1, R4, R6, R7</t>
  </si>
  <si>
    <t>R2</t>
  </si>
  <si>
    <t>±1% 1/8W Thick Film Resistors 150V ±100ppm/℃ -55℃~+155℃ 10kΩ 0805 Chip Resistor - Surface Mount ROHS</t>
  </si>
  <si>
    <t>R11, R14</t>
  </si>
  <si>
    <t>R12, R15</t>
  </si>
  <si>
    <t>R13, R16</t>
  </si>
  <si>
    <t>C4, C10, C13, C15, C16, C17, C18, C19</t>
  </si>
  <si>
    <t>SOD323</t>
  </si>
  <si>
    <t>RES SMD 0603 14kOhm 0.1% Paper T/R</t>
  </si>
  <si>
    <t>Res0603</t>
  </si>
  <si>
    <t>RT0603BRE0714KL</t>
  </si>
  <si>
    <t>R3, R5, R8, R9, R10, R17, R18, R19, R20</t>
  </si>
  <si>
    <t>560R</t>
  </si>
  <si>
    <t>14K</t>
  </si>
  <si>
    <t>10K</t>
  </si>
  <si>
    <t>51K</t>
  </si>
  <si>
    <t>715K</t>
  </si>
  <si>
    <t>13K</t>
  </si>
  <si>
    <t>Mosfet</t>
  </si>
  <si>
    <t>Resistor</t>
  </si>
  <si>
    <t>5.1mm 3.5mm Round Button 50mA To 5.1mm SPST 12V SMD Tactile Switche</t>
  </si>
  <si>
    <t>SW1, SW2, SW3, SW4, SW5</t>
  </si>
  <si>
    <t>TS-1187A-C-G-B</t>
  </si>
  <si>
    <t>Custom</t>
  </si>
  <si>
    <t>IC REG LINEAR 5V 500MA SOT223-4</t>
  </si>
  <si>
    <t>U1</t>
  </si>
  <si>
    <t>UA78M05IDCYR</t>
  </si>
  <si>
    <t>OPTOISOLTR 5KV 4CH TRANS 16-SMD</t>
  </si>
  <si>
    <t>U2</t>
  </si>
  <si>
    <t>LTV-844S</t>
  </si>
  <si>
    <t>DC5-24V Wireless WIFI LED RGB Controller RGBW Controller IR / RF Remote Control IOS/Android for LED Strip RGB RGBW RGBWW</t>
  </si>
  <si>
    <t>U3</t>
  </si>
  <si>
    <t>ESP8285</t>
  </si>
  <si>
    <t>IC REG BOOST ADJ 2A SOT23-5</t>
  </si>
  <si>
    <t>U4, U5</t>
  </si>
  <si>
    <t>SOT23-5</t>
  </si>
  <si>
    <t>LMR62014XMF/NOPB</t>
  </si>
  <si>
    <t>Switch</t>
  </si>
  <si>
    <t>IC MCU 8BIT 14KB FLASH 28SSOP</t>
  </si>
  <si>
    <t>IC1</t>
  </si>
  <si>
    <t>PIC16F15355-I/SS</t>
  </si>
  <si>
    <t>28SSOP</t>
  </si>
  <si>
    <t>DC Power Receptacle 1.65mm 4.3mm 7A 24V Plugin AC/DC Power Connectors ROHS</t>
  </si>
  <si>
    <t>J1</t>
  </si>
  <si>
    <t>DC-C024E-7A-1.65</t>
  </si>
  <si>
    <t>16 Pin Right angle JST Conn 2 mm Pitch</t>
  </si>
  <si>
    <t>J2</t>
  </si>
  <si>
    <t>0220164-162121</t>
  </si>
  <si>
    <t>CONN HEADER SMD 6POS 2.54MM</t>
  </si>
  <si>
    <t>J3</t>
  </si>
  <si>
    <t>95293-401A06LF</t>
  </si>
  <si>
    <t>Conn Shrouded Header HDR 8 POS 2.54mm Solder RA Thru-Hole SL™ Tube</t>
  </si>
  <si>
    <t>J10</t>
  </si>
  <si>
    <t>0705510042</t>
  </si>
  <si>
    <t>CONN HEADER R/A 6POS 2.54MM</t>
  </si>
  <si>
    <t>J11</t>
  </si>
  <si>
    <t>0705510040</t>
  </si>
  <si>
    <t xml:space="preserve">Murata </t>
  </si>
  <si>
    <t xml:space="preserve">TDK </t>
  </si>
  <si>
    <t xml:space="preserve">Darfon </t>
  </si>
  <si>
    <t>---------</t>
  </si>
  <si>
    <t>LCSC</t>
  </si>
  <si>
    <t>Yageo</t>
  </si>
  <si>
    <t>TDK</t>
  </si>
  <si>
    <t>CC0603KRX5R8BB475</t>
  </si>
  <si>
    <t xml:space="preserve">YAGEO </t>
  </si>
  <si>
    <t>ESR25JZPF5600</t>
  </si>
  <si>
    <t>UNI-ROYAL</t>
  </si>
  <si>
    <t xml:space="preserve">Texas </t>
  </si>
  <si>
    <t>------</t>
  </si>
  <si>
    <t>Aliexpress</t>
  </si>
  <si>
    <t xml:space="preserve">Bill of Material (BOM) for Orion Board </t>
  </si>
  <si>
    <t xml:space="preserve">Panasonic </t>
  </si>
  <si>
    <t xml:space="preserve">RS </t>
  </si>
  <si>
    <t>Mouser</t>
  </si>
  <si>
    <t>--</t>
  </si>
  <si>
    <t>Slkor</t>
  </si>
  <si>
    <t>-----</t>
  </si>
  <si>
    <t xml:space="preserve">Diodes </t>
  </si>
  <si>
    <t>---</t>
  </si>
  <si>
    <t>Littelfuse</t>
  </si>
  <si>
    <t>SOT23-3</t>
  </si>
  <si>
    <t xml:space="preserve">Vishay </t>
  </si>
  <si>
    <t>Alibaba</t>
  </si>
  <si>
    <t xml:space="preserve">XKB </t>
  </si>
  <si>
    <t xml:space="preserve">SOT-223
</t>
  </si>
  <si>
    <t>Lite-On</t>
  </si>
  <si>
    <t>MagicHome with ESP8285</t>
  </si>
  <si>
    <t xml:space="preserve">Microchip </t>
  </si>
  <si>
    <t xml:space="preserve">Amphenol ICC
</t>
  </si>
  <si>
    <t>Arrow</t>
  </si>
  <si>
    <t>Molex</t>
  </si>
  <si>
    <t>Micro-Semi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</si>
</sst>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_);[Red]\(&quot;$&quot;#,##0.00\)"/>
    <numFmt numFmtId="165" formatCode="_-[$$-409]* #,##0.00_ ;_-[$$-409]* \-#,##0.00\ ;_-[$$-409]* &quot;-&quot;??_ ;_-@_ "/>
    <numFmt numFmtId="166" formatCode="&quot;$&quot;#,##0.00"/>
  </numFmts>
  <fonts count="13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5" xfId="0" quotePrefix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 wrapText="1"/>
    </xf>
    <xf numFmtId="0" fontId="6" fillId="3" borderId="5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3" borderId="5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3" borderId="5" xfId="1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quotePrefix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 wrapText="1"/>
    </xf>
    <xf numFmtId="0" fontId="6" fillId="3" borderId="12" xfId="0" quotePrefix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164" fontId="6" fillId="3" borderId="15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10" fillId="3" borderId="11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0" borderId="17" xfId="0" quotePrefix="1" applyFont="1" applyBorder="1" applyAlignment="1">
      <alignment horizontal="center" vertical="center" wrapText="1"/>
    </xf>
    <xf numFmtId="0" fontId="6" fillId="3" borderId="17" xfId="0" quotePrefix="1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7" fillId="3" borderId="17" xfId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18" xfId="0" quotePrefix="1" applyFont="1" applyBorder="1" applyAlignment="1">
      <alignment vertical="center" wrapText="1"/>
    </xf>
    <xf numFmtId="0" fontId="6" fillId="3" borderId="23" xfId="0" applyFon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 vertical="center"/>
    </xf>
    <xf numFmtId="0" fontId="6" fillId="0" borderId="9" xfId="0" quotePrefix="1" applyFont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3" fillId="3" borderId="5" xfId="1" applyFill="1" applyBorder="1" applyAlignment="1">
      <alignment horizontal="center" vertical="center"/>
    </xf>
    <xf numFmtId="0" fontId="3" fillId="3" borderId="8" xfId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6" fillId="3" borderId="17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3" borderId="5" xfId="0" quotePrefix="1" applyFont="1" applyFill="1" applyBorder="1" applyAlignment="1">
      <alignment horizontal="center" vertical="center" wrapText="1"/>
    </xf>
    <xf numFmtId="0" fontId="9" fillId="3" borderId="5" xfId="0" quotePrefix="1" applyFont="1" applyFill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 wrapText="1"/>
    </xf>
    <xf numFmtId="164" fontId="6" fillId="3" borderId="17" xfId="0" applyNumberFormat="1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3" fillId="3" borderId="9" xfId="1" applyFill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 wrapText="1"/>
    </xf>
    <xf numFmtId="0" fontId="6" fillId="3" borderId="14" xfId="0" quotePrefix="1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3" borderId="17" xfId="1" applyFill="1" applyBorder="1" applyAlignment="1">
      <alignment horizontal="center" vertical="center"/>
    </xf>
    <xf numFmtId="0" fontId="3" fillId="3" borderId="5" xfId="1" quotePrefix="1" applyFill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12" xfId="0" quotePrefix="1" applyFont="1" applyBorder="1" applyAlignment="1">
      <alignment horizontal="center" vertical="center" wrapText="1"/>
    </xf>
    <xf numFmtId="0" fontId="6" fillId="0" borderId="12" xfId="0" quotePrefix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3" borderId="12" xfId="1" applyFill="1" applyBorder="1" applyAlignment="1">
      <alignment horizontal="center" vertical="center"/>
    </xf>
    <xf numFmtId="0" fontId="9" fillId="0" borderId="9" xfId="0" quotePrefix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 wrapText="1"/>
    </xf>
    <xf numFmtId="0" fontId="6" fillId="0" borderId="13" xfId="0" applyFont="1" applyBorder="1">
      <alignment vertical="center"/>
    </xf>
    <xf numFmtId="0" fontId="8" fillId="0" borderId="15" xfId="0" quotePrefix="1" applyFont="1" applyBorder="1" applyAlignment="1">
      <alignment horizontal="center" vertical="center" wrapText="1"/>
    </xf>
    <xf numFmtId="0" fontId="6" fillId="0" borderId="15" xfId="0" quotePrefix="1" applyFont="1" applyBorder="1" applyAlignment="1">
      <alignment horizontal="center" vertical="center" wrapText="1"/>
    </xf>
    <xf numFmtId="0" fontId="6" fillId="3" borderId="15" xfId="0" quotePrefix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3" fillId="3" borderId="15" xfId="1" applyFill="1" applyBorder="1" applyAlignment="1">
      <alignment horizontal="center" vertical="center"/>
    </xf>
    <xf numFmtId="0" fontId="8" fillId="0" borderId="14" xfId="0" quotePrefix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3" borderId="14" xfId="1" applyFill="1" applyBorder="1" applyAlignment="1">
      <alignment horizontal="center" vertical="center"/>
    </xf>
    <xf numFmtId="0" fontId="8" fillId="0" borderId="27" xfId="0" quotePrefix="1" applyFont="1" applyBorder="1" applyAlignment="1">
      <alignment horizontal="center" vertical="center" wrapText="1"/>
    </xf>
    <xf numFmtId="0" fontId="6" fillId="0" borderId="27" xfId="0" quotePrefix="1" applyFont="1" applyBorder="1" applyAlignment="1">
      <alignment horizontal="center" vertical="center" wrapText="1"/>
    </xf>
    <xf numFmtId="0" fontId="6" fillId="3" borderId="27" xfId="0" quotePrefix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164" fontId="6" fillId="3" borderId="27" xfId="0" applyNumberFormat="1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3" borderId="14" xfId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2" xfId="0" quotePrefix="1" applyFont="1" applyFill="1" applyBorder="1" applyAlignment="1">
      <alignment horizontal="center" vertical="center"/>
    </xf>
    <xf numFmtId="0" fontId="6" fillId="3" borderId="9" xfId="0" quotePrefix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3" borderId="9" xfId="1" applyFill="1" applyBorder="1" applyAlignment="1">
      <alignment horizontal="center" vertical="center" wrapText="1"/>
    </xf>
    <xf numFmtId="164" fontId="6" fillId="3" borderId="9" xfId="0" applyNumberFormat="1" applyFont="1" applyFill="1" applyBorder="1" applyAlignment="1">
      <alignment horizontal="center" vertical="center" wrapText="1"/>
    </xf>
    <xf numFmtId="0" fontId="6" fillId="0" borderId="10" xfId="0" applyFont="1" applyBorder="1">
      <alignment vertical="center"/>
    </xf>
    <xf numFmtId="0" fontId="6" fillId="0" borderId="27" xfId="0" applyFont="1" applyBorder="1" applyAlignment="1">
      <alignment horizontal="center" vertical="center"/>
    </xf>
    <xf numFmtId="0" fontId="6" fillId="3" borderId="12" xfId="0" quotePrefix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3" borderId="12" xfId="1" quotePrefix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3" fillId="3" borderId="9" xfId="1" quotePrefix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3" xfId="0" applyFont="1" applyBorder="1">
      <alignment vertical="center"/>
    </xf>
    <xf numFmtId="0" fontId="6" fillId="0" borderId="21" xfId="0" quotePrefix="1" applyFont="1" applyBorder="1" applyAlignment="1">
      <alignment vertical="center" wrapText="1"/>
    </xf>
    <xf numFmtId="0" fontId="6" fillId="0" borderId="22" xfId="0" quotePrefix="1" applyFont="1" applyBorder="1" applyAlignment="1">
      <alignment vertical="center" wrapText="1"/>
    </xf>
    <xf numFmtId="0" fontId="6" fillId="0" borderId="30" xfId="0" quotePrefix="1" applyFont="1" applyBorder="1" applyAlignment="1">
      <alignment vertical="center" wrapText="1"/>
    </xf>
    <xf numFmtId="0" fontId="6" fillId="0" borderId="31" xfId="0" quotePrefix="1" applyFont="1" applyBorder="1" applyAlignment="1">
      <alignment horizontal="left" vertical="center" wrapText="1"/>
    </xf>
    <xf numFmtId="0" fontId="6" fillId="0" borderId="26" xfId="0" quotePrefix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UNI-ROYAL-Uniroyal-Elec-0201WMF5102TEE_C473471.html" TargetMode="External"/><Relationship Id="rId13" Type="http://schemas.openxmlformats.org/officeDocument/2006/relationships/hyperlink" Target="https://eu.mouser.com/ProductDetail/TDK/C1005X5R1H104K050BB?qs=dfay7wIA1uFKSdBVUyKezQ%3D%3D&amp;utm_source=digipart&amp;utm_medium=aggregator&amp;utm_campaign=C1005X5R1H104K050BB&amp;utm_term=C1005X5R1H104K050BB&amp;utm_content=TDK" TargetMode="External"/><Relationship Id="rId18" Type="http://schemas.openxmlformats.org/officeDocument/2006/relationships/hyperlink" Target="https://lcsc.com/product-detail/Chip-Resistor-Surface-Mount_YAGEO-RT0603BRE0714KL_C705812.html" TargetMode="External"/><Relationship Id="rId26" Type="http://schemas.openxmlformats.org/officeDocument/2006/relationships/hyperlink" Target="https://www.micro-semiconductor.com/products/Affinity-Medical-Technologies-a-Molex-company/0705510042" TargetMode="External"/><Relationship Id="rId3" Type="http://schemas.openxmlformats.org/officeDocument/2006/relationships/hyperlink" Target="https://lcsc.com/product-detail/Multilayer-Ceramic-Capacitors-MLCC-SMD-SMT_Darfon-Elec-C0603X7R221KGT_C258475.html" TargetMode="External"/><Relationship Id="rId21" Type="http://schemas.openxmlformats.org/officeDocument/2006/relationships/hyperlink" Target="https://www.aliexpress.com/item/4001228129890.html?spm=a2g0o.productlist.0.0.22aa4e02IVyCg8&amp;algo_pvid=3b8aca14-cebf-4a38-80e3-7f6693785272&amp;algo_exp_id=3b8aca14-cebf-4a38-80e3-7f6693785272-0&amp;pdp_ext_f=%7B%22sku_id%22%3A%2210000015372169104%22%7D" TargetMode="External"/><Relationship Id="rId7" Type="http://schemas.openxmlformats.org/officeDocument/2006/relationships/hyperlink" Target="https://lcsc.com/product-detail/Chip-Resistor-Surface-Mount_UNI-ROYAL-Uniroyal-Elec-0805W8F1002T5E_C38522.html" TargetMode="External"/><Relationship Id="rId12" Type="http://schemas.openxmlformats.org/officeDocument/2006/relationships/hyperlink" Target="https://uk.rs-online.com/web/p/aluminium-capacitors/0569237/?cjevent=37a8b3016fd96c3dd2608d3ea903c327e7ecaf3173ebd15d2&amp;cm_mmc=UK-CJAFF-_-digipart.com-_-RS++RS+Components+UK" TargetMode="External"/><Relationship Id="rId17" Type="http://schemas.openxmlformats.org/officeDocument/2006/relationships/hyperlink" Target="https://www.alibaba.com/product-detail/Original-Electronic-Components-SQ2308CES-T1-BE3_1600376600901.html?spm=a2700.galleryofferlist.normal_offer.d_title.47697bc2JNlpPI" TargetMode="External"/><Relationship Id="rId25" Type="http://schemas.openxmlformats.org/officeDocument/2006/relationships/hyperlink" Target="https://www.arrow.com/en/products/95293-401a06lf/amphenol-fci?region=nac&amp;utm_term=95293-401A06LF&amp;utm_source=digipart&amp;utm_medium=aggregator&amp;utm_campaign=digipart_2018&amp;utm_content=inv_listing" TargetMode="External"/><Relationship Id="rId2" Type="http://schemas.openxmlformats.org/officeDocument/2006/relationships/hyperlink" Target="https://lcsc.com/product-detail/Multilayer-Ceramic-Capacitors-MLCC-SMD-SMT_TDK-C1005X5R1E225KT000E_C76595.html" TargetMode="External"/><Relationship Id="rId16" Type="http://schemas.openxmlformats.org/officeDocument/2006/relationships/hyperlink" Target="https://eu.mouser.com/ProductDetail/Littelfuse/30R135UPR?qs=%2Fha2pyFadugyfgNh36J6SDOK0McW%252B8U3%2FdRD%2FbHFA0MMFENTaw7Hhg%3D%3D" TargetMode="External"/><Relationship Id="rId20" Type="http://schemas.openxmlformats.org/officeDocument/2006/relationships/hyperlink" Target="https://lcsc.com/product-detail/Linear-Voltage-Regulators-LDO_Texas-Instruments-UA78M05IDCYR_C182422.html" TargetMode="External"/><Relationship Id="rId1" Type="http://schemas.openxmlformats.org/officeDocument/2006/relationships/hyperlink" Target="https://lcsc.com/product-detail/Multilayer-Ceramic-Capacitors-MLCC-SMD-SMT_Murata-Electronics-GRM033R61E104KE14D_C76939.html" TargetMode="External"/><Relationship Id="rId6" Type="http://schemas.openxmlformats.org/officeDocument/2006/relationships/hyperlink" Target="https://lcsc.com/product-detail/Chip-span-style-background-color-ff0-Resistor-span-Surface-Mount_ROHM-Semicon-ESR25JZPF5600_C307929.html" TargetMode="External"/><Relationship Id="rId11" Type="http://schemas.openxmlformats.org/officeDocument/2006/relationships/hyperlink" Target="https://www.aliexpress.com/item/1005003489227184.html?spm=a2g0o.productlist.0.0.16832d793TxfRq&amp;algo_pvid=c731de8a-d14e-4e7b-9276-0f7382357cb6&amp;algo_exp_id=c731de8a-d14e-4e7b-9276-0f7382357cb6-0&amp;pdp_ext_f=%7B%22sku_id%22%3A%2212000026023325769%22%7D" TargetMode="External"/><Relationship Id="rId24" Type="http://schemas.openxmlformats.org/officeDocument/2006/relationships/hyperlink" Target="https://lcsc.com/product-detail/AC-DC-Power-Connectors_XKB-Connectivity-DC-C024E-7A-1-65_C397335.html" TargetMode="External"/><Relationship Id="rId5" Type="http://schemas.openxmlformats.org/officeDocument/2006/relationships/hyperlink" Target="https://lcsc.com/product-detail/Multilayer-Ceramic-Capacitors-MLCC-SMD-SMT_YAGEO-CC0603KRX5R8BB475_C326580.html" TargetMode="External"/><Relationship Id="rId15" Type="http://schemas.openxmlformats.org/officeDocument/2006/relationships/hyperlink" Target="https://lcsc.com/product-detail/Schottky-Barrier-Diodes-SBD_Diodes-Incorporated-SDM2U20SD3-7_C460258.html" TargetMode="External"/><Relationship Id="rId23" Type="http://schemas.openxmlformats.org/officeDocument/2006/relationships/hyperlink" Target="https://lcsc.com/product-detail/Pre-ordered-MCUs_Microchip-Tech-PIC16F15355-I-SS_C641698.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Chip-Resistor-Surface-Mount_UNI-ROYAL-Uniroyal-Elec-NQ01WMJ0133TEE_C965341.html" TargetMode="External"/><Relationship Id="rId19" Type="http://schemas.openxmlformats.org/officeDocument/2006/relationships/hyperlink" Target="https://lcsc.com/product-detail/Tactile-Switches_XKB-Connectivity-TS-1187A-C-G-B_C318886.html" TargetMode="External"/><Relationship Id="rId4" Type="http://schemas.openxmlformats.org/officeDocument/2006/relationships/hyperlink" Target="https://lcsc.com/product-detail/Multilayer-Ceramic-Capacitors-MLCC-SMD-SMT_YAGEO-CC1206KRX7R0BB103_C107204.html" TargetMode="External"/><Relationship Id="rId9" Type="http://schemas.openxmlformats.org/officeDocument/2006/relationships/hyperlink" Target="https://lcsc.com/product-detail/Chip-Resistor-Surface-Mount_UNI-ROYAL-Uniroyal-Elec-0201WMF7153TEE_C620454.html" TargetMode="External"/><Relationship Id="rId14" Type="http://schemas.openxmlformats.org/officeDocument/2006/relationships/hyperlink" Target="https://lcsc.com/product-detail/Diodes-General-Purpose_Slkor-SLKORMICRO-Elec-M7_C426571.html" TargetMode="External"/><Relationship Id="rId22" Type="http://schemas.openxmlformats.org/officeDocument/2006/relationships/hyperlink" Target="https://www.aliexpress.com/item/32827253255.html" TargetMode="External"/><Relationship Id="rId27" Type="http://schemas.openxmlformats.org/officeDocument/2006/relationships/hyperlink" Target="https://www.micro-semiconductor.com/products/Affinity-Medical-Technologies-a-Molex-company/0705510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zoomScale="85" zoomScaleNormal="85" workbookViewId="0">
      <selection activeCell="D33" sqref="D33"/>
    </sheetView>
  </sheetViews>
  <sheetFormatPr defaultColWidth="9.140625" defaultRowHeight="15"/>
  <cols>
    <col min="1" max="1" width="6.7109375" bestFit="1" customWidth="1"/>
    <col min="2" max="2" width="14.28515625" customWidth="1"/>
    <col min="3" max="3" width="73" customWidth="1"/>
    <col min="4" max="4" width="19.140625" style="1" bestFit="1" customWidth="1"/>
    <col min="5" max="5" width="20.5703125" style="1" bestFit="1" customWidth="1"/>
    <col min="6" max="6" width="28.42578125" style="1" bestFit="1" customWidth="1"/>
    <col min="7" max="7" width="14.7109375" bestFit="1" customWidth="1"/>
    <col min="8" max="8" width="18.28515625" bestFit="1" customWidth="1"/>
    <col min="9" max="9" width="8.140625" bestFit="1" customWidth="1"/>
    <col min="10" max="10" width="17.42578125" style="6" bestFit="1" customWidth="1"/>
    <col min="11" max="11" width="21.7109375" bestFit="1" customWidth="1"/>
    <col min="12" max="12" width="11.5703125" bestFit="1" customWidth="1"/>
    <col min="13" max="13" width="11.140625" bestFit="1" customWidth="1"/>
    <col min="14" max="14" width="13.42578125" customWidth="1"/>
    <col min="15" max="15" width="13.42578125" bestFit="1" customWidth="1"/>
    <col min="16" max="16" width="23.42578125" customWidth="1"/>
    <col min="17" max="17" width="15" customWidth="1"/>
    <col min="18" max="18" width="24.5703125" bestFit="1" customWidth="1"/>
  </cols>
  <sheetData>
    <row r="1" spans="1:18" ht="16.5" thickBot="1">
      <c r="A1" s="80" t="s">
        <v>156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4"/>
      <c r="R1" s="65"/>
    </row>
    <row r="2" spans="1:18" ht="16.5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pans="1:18" ht="16.5" thickBot="1">
      <c r="A3" s="2">
        <v>1</v>
      </c>
      <c r="B3" s="66" t="s">
        <v>18</v>
      </c>
      <c r="C3" s="134" t="s">
        <v>59</v>
      </c>
      <c r="D3" s="84" t="s">
        <v>62</v>
      </c>
      <c r="E3" s="85" t="s">
        <v>37</v>
      </c>
      <c r="F3" s="85" t="s">
        <v>63</v>
      </c>
      <c r="G3" s="21" t="s">
        <v>147</v>
      </c>
      <c r="H3" s="21" t="s">
        <v>145</v>
      </c>
      <c r="I3" s="50" t="s">
        <v>71</v>
      </c>
      <c r="J3" s="86">
        <v>2</v>
      </c>
      <c r="K3" s="40">
        <f>J3*20</f>
        <v>40</v>
      </c>
      <c r="L3" s="22">
        <v>20</v>
      </c>
      <c r="M3" s="76" t="s">
        <v>146</v>
      </c>
      <c r="N3" s="23">
        <v>2.6200000000000001E-2</v>
      </c>
      <c r="O3" s="23">
        <f>N3*L3</f>
        <v>0.52400000000000002</v>
      </c>
      <c r="P3" s="23">
        <v>2.6200000000000001E-2</v>
      </c>
      <c r="Q3" s="23">
        <f>P3*K3</f>
        <v>1.048</v>
      </c>
      <c r="R3" s="24"/>
    </row>
    <row r="4" spans="1:18" ht="16.5" thickBot="1">
      <c r="A4" s="2">
        <v>2</v>
      </c>
      <c r="B4" s="67"/>
      <c r="C4" s="47" t="s">
        <v>60</v>
      </c>
      <c r="D4" s="72" t="s">
        <v>64</v>
      </c>
      <c r="E4" s="9" t="s">
        <v>108</v>
      </c>
      <c r="F4" s="9" t="s">
        <v>65</v>
      </c>
      <c r="G4" s="58" t="s">
        <v>157</v>
      </c>
      <c r="H4" s="7" t="s">
        <v>145</v>
      </c>
      <c r="I4" s="52" t="s">
        <v>19</v>
      </c>
      <c r="J4" s="57">
        <v>1</v>
      </c>
      <c r="K4" s="8">
        <f t="shared" ref="K4:K31" si="0">J4*20</f>
        <v>20</v>
      </c>
      <c r="L4" s="8">
        <v>5</v>
      </c>
      <c r="M4" s="81" t="s">
        <v>158</v>
      </c>
      <c r="N4" s="17">
        <v>0.52</v>
      </c>
      <c r="O4" s="17">
        <f>N4*L4</f>
        <v>2.6</v>
      </c>
      <c r="P4" s="17">
        <v>0.52</v>
      </c>
      <c r="Q4" s="17">
        <f>P4*K4</f>
        <v>10.4</v>
      </c>
      <c r="R4" s="25"/>
    </row>
    <row r="5" spans="1:18" ht="26.25" thickBot="1">
      <c r="A5" s="2">
        <v>3</v>
      </c>
      <c r="B5" s="67"/>
      <c r="C5" s="47" t="s">
        <v>26</v>
      </c>
      <c r="D5" s="72" t="s">
        <v>91</v>
      </c>
      <c r="E5" s="9" t="s">
        <v>27</v>
      </c>
      <c r="F5" s="9" t="s">
        <v>28</v>
      </c>
      <c r="G5" s="7" t="s">
        <v>142</v>
      </c>
      <c r="H5" s="7" t="s">
        <v>145</v>
      </c>
      <c r="I5" s="52" t="s">
        <v>50</v>
      </c>
      <c r="J5" s="57">
        <v>3</v>
      </c>
      <c r="K5" s="8">
        <f t="shared" si="0"/>
        <v>60</v>
      </c>
      <c r="L5" s="8">
        <v>100</v>
      </c>
      <c r="M5" s="12" t="s">
        <v>146</v>
      </c>
      <c r="N5" s="17">
        <v>5.7999999999999996E-3</v>
      </c>
      <c r="O5" s="17">
        <f>N5*50</f>
        <v>0.28999999999999998</v>
      </c>
      <c r="P5" s="17">
        <v>5.7999999999999996E-3</v>
      </c>
      <c r="Q5" s="17">
        <f>P5*L5</f>
        <v>0.57999999999999996</v>
      </c>
      <c r="R5" s="25"/>
    </row>
    <row r="6" spans="1:18" ht="16.5" thickBot="1">
      <c r="A6" s="2">
        <v>4</v>
      </c>
      <c r="B6" s="67"/>
      <c r="C6" s="47" t="s">
        <v>29</v>
      </c>
      <c r="D6" s="72" t="s">
        <v>66</v>
      </c>
      <c r="E6" s="9" t="s">
        <v>30</v>
      </c>
      <c r="F6" s="9" t="s">
        <v>31</v>
      </c>
      <c r="G6" s="7" t="s">
        <v>143</v>
      </c>
      <c r="H6" s="7" t="s">
        <v>145</v>
      </c>
      <c r="I6" s="52" t="s">
        <v>51</v>
      </c>
      <c r="J6" s="57">
        <v>2</v>
      </c>
      <c r="K6" s="8">
        <f t="shared" si="0"/>
        <v>40</v>
      </c>
      <c r="L6" s="7">
        <v>10</v>
      </c>
      <c r="M6" s="12" t="s">
        <v>146</v>
      </c>
      <c r="N6" s="17">
        <v>3.6499999999999998E-2</v>
      </c>
      <c r="O6" s="17">
        <f>N6*L6</f>
        <v>0.36499999999999999</v>
      </c>
      <c r="P6" s="17">
        <v>3.6499999999999998E-2</v>
      </c>
      <c r="Q6" s="17">
        <f>P6*K6</f>
        <v>1.46</v>
      </c>
      <c r="R6" s="25"/>
    </row>
    <row r="7" spans="1:18" s="13" customFormat="1" ht="16.5" thickBot="1">
      <c r="A7" s="2">
        <v>5</v>
      </c>
      <c r="B7" s="67"/>
      <c r="C7" s="47" t="s">
        <v>32</v>
      </c>
      <c r="D7" s="72" t="s">
        <v>67</v>
      </c>
      <c r="E7" s="9" t="s">
        <v>27</v>
      </c>
      <c r="F7" s="9" t="s">
        <v>33</v>
      </c>
      <c r="G7" s="7" t="s">
        <v>144</v>
      </c>
      <c r="H7" s="7" t="s">
        <v>145</v>
      </c>
      <c r="I7" s="52" t="s">
        <v>52</v>
      </c>
      <c r="J7" s="57">
        <v>2</v>
      </c>
      <c r="K7" s="8">
        <f t="shared" si="0"/>
        <v>40</v>
      </c>
      <c r="L7" s="8">
        <v>100</v>
      </c>
      <c r="M7" s="12" t="s">
        <v>146</v>
      </c>
      <c r="N7" s="17">
        <v>1.6999999999999999E-3</v>
      </c>
      <c r="O7" s="17">
        <f>N7*L7</f>
        <v>0.16999999999999998</v>
      </c>
      <c r="P7" s="17">
        <v>1.6999999999999999E-3</v>
      </c>
      <c r="Q7" s="17">
        <f>L7*P7</f>
        <v>0.16999999999999998</v>
      </c>
      <c r="R7" s="25"/>
    </row>
    <row r="8" spans="1:18" ht="16.5" thickBot="1">
      <c r="A8" s="2">
        <v>6</v>
      </c>
      <c r="B8" s="67"/>
      <c r="C8" s="47" t="s">
        <v>34</v>
      </c>
      <c r="D8" s="72" t="s">
        <v>68</v>
      </c>
      <c r="E8" s="9" t="s">
        <v>35</v>
      </c>
      <c r="F8" s="77" t="s">
        <v>36</v>
      </c>
      <c r="G8" s="7" t="s">
        <v>148</v>
      </c>
      <c r="H8" s="7" t="s">
        <v>149</v>
      </c>
      <c r="I8" s="52" t="s">
        <v>53</v>
      </c>
      <c r="J8" s="57">
        <v>2</v>
      </c>
      <c r="K8" s="8">
        <f t="shared" si="0"/>
        <v>40</v>
      </c>
      <c r="L8" s="43">
        <v>10</v>
      </c>
      <c r="M8" s="53" t="s">
        <v>146</v>
      </c>
      <c r="N8" s="73">
        <v>5.7000000000000002E-2</v>
      </c>
      <c r="O8" s="73">
        <f>N8*L8</f>
        <v>0.57000000000000006</v>
      </c>
      <c r="P8" s="73">
        <v>5.7000000000000002E-2</v>
      </c>
      <c r="Q8" s="73">
        <f>P8*K8</f>
        <v>2.2800000000000002</v>
      </c>
      <c r="R8" s="74"/>
    </row>
    <row r="9" spans="1:18" ht="16.5" thickBot="1">
      <c r="A9" s="2">
        <v>7</v>
      </c>
      <c r="B9" s="68"/>
      <c r="C9" s="135" t="s">
        <v>61</v>
      </c>
      <c r="D9" s="87" t="s">
        <v>69</v>
      </c>
      <c r="E9" s="26" t="s">
        <v>30</v>
      </c>
      <c r="F9" s="26" t="s">
        <v>70</v>
      </c>
      <c r="G9" s="27" t="s">
        <v>148</v>
      </c>
      <c r="H9" s="27" t="s">
        <v>145</v>
      </c>
      <c r="I9" s="88" t="s">
        <v>50</v>
      </c>
      <c r="J9" s="89">
        <v>2</v>
      </c>
      <c r="K9" s="28">
        <f t="shared" si="0"/>
        <v>40</v>
      </c>
      <c r="L9" s="27" t="s">
        <v>160</v>
      </c>
      <c r="M9" s="90" t="s">
        <v>159</v>
      </c>
      <c r="N9" s="30">
        <v>0.121</v>
      </c>
      <c r="O9" s="30">
        <f>N9*J9</f>
        <v>0.24199999999999999</v>
      </c>
      <c r="P9" s="30">
        <v>4.9000000000000002E-2</v>
      </c>
      <c r="Q9" s="30">
        <f>P9*K9</f>
        <v>1.96</v>
      </c>
      <c r="R9" s="31"/>
    </row>
    <row r="10" spans="1:18" ht="16.5" thickBot="1">
      <c r="A10" s="2">
        <v>8</v>
      </c>
      <c r="B10" s="59" t="s">
        <v>55</v>
      </c>
      <c r="C10" s="134" t="s">
        <v>72</v>
      </c>
      <c r="D10" s="84" t="s">
        <v>73</v>
      </c>
      <c r="E10" s="85" t="s">
        <v>74</v>
      </c>
      <c r="F10" s="85" t="s">
        <v>75</v>
      </c>
      <c r="G10" s="21" t="s">
        <v>161</v>
      </c>
      <c r="H10" s="21" t="s">
        <v>145</v>
      </c>
      <c r="I10" s="21" t="s">
        <v>162</v>
      </c>
      <c r="J10" s="86">
        <v>1</v>
      </c>
      <c r="K10" s="22">
        <f t="shared" si="0"/>
        <v>20</v>
      </c>
      <c r="L10" s="22">
        <v>50</v>
      </c>
      <c r="M10" s="76" t="s">
        <v>146</v>
      </c>
      <c r="N10" s="23">
        <v>0.01</v>
      </c>
      <c r="O10" s="23">
        <f>N10*L10</f>
        <v>0.5</v>
      </c>
      <c r="P10" s="23">
        <v>0.01</v>
      </c>
      <c r="Q10" s="23">
        <f>P10*L10</f>
        <v>0.5</v>
      </c>
      <c r="R10" s="24"/>
    </row>
    <row r="11" spans="1:18" ht="16.5" thickBot="1">
      <c r="A11" s="2">
        <v>9</v>
      </c>
      <c r="B11" s="61"/>
      <c r="C11" s="135" t="s">
        <v>38</v>
      </c>
      <c r="D11" s="87" t="s">
        <v>76</v>
      </c>
      <c r="E11" s="26" t="s">
        <v>92</v>
      </c>
      <c r="F11" s="26" t="s">
        <v>39</v>
      </c>
      <c r="G11" s="27" t="s">
        <v>163</v>
      </c>
      <c r="H11" s="27" t="s">
        <v>145</v>
      </c>
      <c r="I11" s="27" t="s">
        <v>162</v>
      </c>
      <c r="J11" s="89">
        <v>2</v>
      </c>
      <c r="K11" s="28">
        <f t="shared" si="0"/>
        <v>40</v>
      </c>
      <c r="L11" s="28">
        <v>5</v>
      </c>
      <c r="M11" s="90" t="s">
        <v>146</v>
      </c>
      <c r="N11" s="30">
        <v>0.1087</v>
      </c>
      <c r="O11" s="30">
        <f>N11*L11</f>
        <v>0.54349999999999998</v>
      </c>
      <c r="P11" s="30">
        <v>0.1087</v>
      </c>
      <c r="Q11" s="30">
        <f>P11*K11</f>
        <v>4.3479999999999999</v>
      </c>
      <c r="R11" s="31"/>
    </row>
    <row r="12" spans="1:18" ht="16.5" thickBot="1">
      <c r="A12" s="2">
        <v>10</v>
      </c>
      <c r="B12" s="69" t="s">
        <v>80</v>
      </c>
      <c r="C12" s="136" t="s">
        <v>77</v>
      </c>
      <c r="D12" s="95" t="s">
        <v>78</v>
      </c>
      <c r="E12" s="96" t="s">
        <v>108</v>
      </c>
      <c r="F12" s="96" t="s">
        <v>79</v>
      </c>
      <c r="G12" s="97" t="s">
        <v>165</v>
      </c>
      <c r="H12" s="97" t="s">
        <v>145</v>
      </c>
      <c r="I12" s="97" t="s">
        <v>162</v>
      </c>
      <c r="J12" s="98">
        <v>1</v>
      </c>
      <c r="K12" s="34">
        <f t="shared" si="0"/>
        <v>20</v>
      </c>
      <c r="L12" s="97" t="s">
        <v>164</v>
      </c>
      <c r="M12" s="99" t="s">
        <v>159</v>
      </c>
      <c r="N12" s="35">
        <v>0.54400000000000004</v>
      </c>
      <c r="O12" s="35">
        <f>N12*J12</f>
        <v>0.54400000000000004</v>
      </c>
      <c r="P12" s="35">
        <v>0.51200000000000001</v>
      </c>
      <c r="Q12" s="35">
        <f>P12*K12</f>
        <v>10.24</v>
      </c>
      <c r="R12" s="36"/>
    </row>
    <row r="13" spans="1:18" ht="16.5" thickBot="1">
      <c r="A13" s="2">
        <v>11</v>
      </c>
      <c r="B13" s="56" t="s">
        <v>81</v>
      </c>
      <c r="C13" s="137" t="s">
        <v>40</v>
      </c>
      <c r="D13" s="103" t="s">
        <v>41</v>
      </c>
      <c r="E13" s="104" t="s">
        <v>108</v>
      </c>
      <c r="F13" s="104" t="s">
        <v>42</v>
      </c>
      <c r="G13" s="105" t="s">
        <v>143</v>
      </c>
      <c r="H13" s="105" t="s">
        <v>145</v>
      </c>
      <c r="I13" s="104" t="s">
        <v>54</v>
      </c>
      <c r="J13" s="106">
        <v>1</v>
      </c>
      <c r="K13" s="107">
        <f t="shared" si="0"/>
        <v>20</v>
      </c>
      <c r="L13" s="107">
        <v>1</v>
      </c>
      <c r="M13" s="108" t="s">
        <v>146</v>
      </c>
      <c r="N13" s="109">
        <v>0.26910000000000001</v>
      </c>
      <c r="O13" s="109">
        <f>N13*J13</f>
        <v>0.26910000000000001</v>
      </c>
      <c r="P13" s="109">
        <v>0.20050000000000001</v>
      </c>
      <c r="Q13" s="109">
        <f>P13*K13</f>
        <v>4.01</v>
      </c>
      <c r="R13" s="110"/>
    </row>
    <row r="14" spans="1:18" ht="16.5" thickBot="1">
      <c r="A14" s="2">
        <v>12</v>
      </c>
      <c r="B14" s="55" t="s">
        <v>103</v>
      </c>
      <c r="C14" s="138" t="s">
        <v>82</v>
      </c>
      <c r="D14" s="100" t="s">
        <v>83</v>
      </c>
      <c r="E14" s="79" t="s">
        <v>166</v>
      </c>
      <c r="F14" s="79" t="s">
        <v>84</v>
      </c>
      <c r="G14" s="78" t="s">
        <v>167</v>
      </c>
      <c r="H14" s="78" t="s">
        <v>145</v>
      </c>
      <c r="I14" s="78" t="s">
        <v>162</v>
      </c>
      <c r="J14" s="101">
        <v>3</v>
      </c>
      <c r="K14" s="32">
        <f t="shared" si="0"/>
        <v>60</v>
      </c>
      <c r="L14" s="78" t="s">
        <v>160</v>
      </c>
      <c r="M14" s="102" t="s">
        <v>168</v>
      </c>
      <c r="N14" s="33">
        <v>0.1</v>
      </c>
      <c r="O14" s="33">
        <f>N14*J14</f>
        <v>0.30000000000000004</v>
      </c>
      <c r="P14" s="33">
        <v>0.1</v>
      </c>
      <c r="Q14" s="33">
        <f>P14*K14</f>
        <v>6</v>
      </c>
      <c r="R14" s="48"/>
    </row>
    <row r="15" spans="1:18" ht="16.5" thickBot="1">
      <c r="A15" s="2">
        <v>13</v>
      </c>
      <c r="B15" s="59" t="s">
        <v>104</v>
      </c>
      <c r="C15" s="134" t="s">
        <v>20</v>
      </c>
      <c r="D15" s="84" t="s">
        <v>85</v>
      </c>
      <c r="E15" s="85" t="s">
        <v>21</v>
      </c>
      <c r="F15" s="91" t="s">
        <v>22</v>
      </c>
      <c r="G15" s="92" t="s">
        <v>150</v>
      </c>
      <c r="H15" s="21" t="s">
        <v>151</v>
      </c>
      <c r="I15" s="85" t="s">
        <v>97</v>
      </c>
      <c r="J15" s="86">
        <v>4</v>
      </c>
      <c r="K15" s="22">
        <f t="shared" si="0"/>
        <v>80</v>
      </c>
      <c r="L15" s="22">
        <v>10</v>
      </c>
      <c r="M15" s="76" t="s">
        <v>146</v>
      </c>
      <c r="N15" s="23">
        <v>3.4599999999999999E-2</v>
      </c>
      <c r="O15" s="23">
        <f>N15*L15</f>
        <v>0.34599999999999997</v>
      </c>
      <c r="P15" s="23">
        <v>3.4599999999999999E-2</v>
      </c>
      <c r="Q15" s="23">
        <f>P15*K15</f>
        <v>2.7679999999999998</v>
      </c>
      <c r="R15" s="24"/>
    </row>
    <row r="16" spans="1:18" ht="16.5" thickBot="1">
      <c r="A16" s="2">
        <v>14</v>
      </c>
      <c r="B16" s="60"/>
      <c r="C16" s="47" t="s">
        <v>93</v>
      </c>
      <c r="D16" s="72" t="s">
        <v>86</v>
      </c>
      <c r="E16" s="9" t="s">
        <v>94</v>
      </c>
      <c r="F16" s="9" t="s">
        <v>95</v>
      </c>
      <c r="G16" s="18" t="s">
        <v>150</v>
      </c>
      <c r="H16" s="58" t="s">
        <v>145</v>
      </c>
      <c r="I16" s="9" t="s">
        <v>98</v>
      </c>
      <c r="J16" s="57">
        <v>1</v>
      </c>
      <c r="K16" s="8">
        <f t="shared" si="0"/>
        <v>20</v>
      </c>
      <c r="L16" s="7">
        <v>20</v>
      </c>
      <c r="M16" s="53" t="s">
        <v>146</v>
      </c>
      <c r="N16" s="17">
        <v>2.3800000000000002E-2</v>
      </c>
      <c r="O16" s="17">
        <f>N16*L16</f>
        <v>0.47600000000000003</v>
      </c>
      <c r="P16" s="17">
        <v>2.3800000000000002E-2</v>
      </c>
      <c r="Q16" s="17">
        <f>P16*K16</f>
        <v>0.47600000000000003</v>
      </c>
      <c r="R16" s="38"/>
    </row>
    <row r="17" spans="1:19" ht="26.25" thickBot="1">
      <c r="A17" s="2">
        <v>15</v>
      </c>
      <c r="B17" s="60"/>
      <c r="C17" s="47" t="s">
        <v>87</v>
      </c>
      <c r="D17" s="72" t="s">
        <v>96</v>
      </c>
      <c r="E17" s="9" t="s">
        <v>23</v>
      </c>
      <c r="F17" s="9" t="s">
        <v>24</v>
      </c>
      <c r="G17" s="58" t="s">
        <v>152</v>
      </c>
      <c r="H17" s="58" t="s">
        <v>145</v>
      </c>
      <c r="I17" s="9" t="s">
        <v>99</v>
      </c>
      <c r="J17" s="57">
        <v>9</v>
      </c>
      <c r="K17" s="8">
        <f t="shared" si="0"/>
        <v>180</v>
      </c>
      <c r="L17" s="43">
        <v>200</v>
      </c>
      <c r="M17" s="44" t="s">
        <v>146</v>
      </c>
      <c r="N17" s="17">
        <v>2.3999999999999998E-3</v>
      </c>
      <c r="O17" s="17">
        <f>N17*100</f>
        <v>0.24</v>
      </c>
      <c r="P17" s="17">
        <v>2.3999999999999998E-3</v>
      </c>
      <c r="Q17" s="17">
        <f>P17*L17</f>
        <v>0.48</v>
      </c>
      <c r="R17" s="38"/>
    </row>
    <row r="18" spans="1:19" s="11" customFormat="1" ht="15.75" customHeight="1" thickBot="1">
      <c r="A18" s="2">
        <v>16</v>
      </c>
      <c r="B18" s="60"/>
      <c r="C18" s="47" t="s">
        <v>43</v>
      </c>
      <c r="D18" s="72" t="s">
        <v>88</v>
      </c>
      <c r="E18" s="9" t="s">
        <v>44</v>
      </c>
      <c r="F18" s="9" t="s">
        <v>45</v>
      </c>
      <c r="G18" s="7" t="s">
        <v>152</v>
      </c>
      <c r="H18" s="7" t="s">
        <v>145</v>
      </c>
      <c r="I18" s="9" t="s">
        <v>100</v>
      </c>
      <c r="J18" s="57">
        <v>2</v>
      </c>
      <c r="K18" s="8">
        <f t="shared" si="0"/>
        <v>40</v>
      </c>
      <c r="L18" s="8">
        <v>100</v>
      </c>
      <c r="M18" s="12" t="s">
        <v>146</v>
      </c>
      <c r="N18" s="15">
        <v>1.1000000000000001E-3</v>
      </c>
      <c r="O18" s="17">
        <f>N18*L18</f>
        <v>0.11</v>
      </c>
      <c r="P18" s="15">
        <v>1.1000000000000001E-3</v>
      </c>
      <c r="Q18" s="15">
        <f>P18*L18</f>
        <v>0.11</v>
      </c>
      <c r="R18" s="93"/>
    </row>
    <row r="19" spans="1:19" s="13" customFormat="1" ht="15.75" customHeight="1" thickBot="1">
      <c r="A19" s="2">
        <v>17</v>
      </c>
      <c r="B19" s="60"/>
      <c r="C19" s="47" t="s">
        <v>46</v>
      </c>
      <c r="D19" s="72" t="s">
        <v>89</v>
      </c>
      <c r="E19" s="9" t="s">
        <v>44</v>
      </c>
      <c r="F19" s="9" t="s">
        <v>47</v>
      </c>
      <c r="G19" s="7" t="s">
        <v>152</v>
      </c>
      <c r="H19" s="7" t="s">
        <v>145</v>
      </c>
      <c r="I19" s="9" t="s">
        <v>101</v>
      </c>
      <c r="J19" s="57">
        <v>2</v>
      </c>
      <c r="K19" s="8">
        <f t="shared" si="0"/>
        <v>40</v>
      </c>
      <c r="L19" s="8">
        <v>100</v>
      </c>
      <c r="M19" s="12" t="s">
        <v>146</v>
      </c>
      <c r="N19" s="17">
        <v>1.1999999999999999E-3</v>
      </c>
      <c r="O19" s="17">
        <f>N19*L19</f>
        <v>0.12</v>
      </c>
      <c r="P19" s="17">
        <v>1.1999999999999999E-3</v>
      </c>
      <c r="Q19" s="17">
        <f>P19*L19</f>
        <v>0.12</v>
      </c>
      <c r="R19" s="25"/>
    </row>
    <row r="20" spans="1:19" ht="16.5" thickBot="1">
      <c r="A20" s="2">
        <v>18</v>
      </c>
      <c r="B20" s="61"/>
      <c r="C20" s="135" t="s">
        <v>48</v>
      </c>
      <c r="D20" s="87" t="s">
        <v>90</v>
      </c>
      <c r="E20" s="26" t="s">
        <v>44</v>
      </c>
      <c r="F20" s="26" t="s">
        <v>49</v>
      </c>
      <c r="G20" s="27" t="s">
        <v>152</v>
      </c>
      <c r="H20" s="27" t="s">
        <v>145</v>
      </c>
      <c r="I20" s="26" t="s">
        <v>102</v>
      </c>
      <c r="J20" s="89">
        <v>2</v>
      </c>
      <c r="K20" s="28">
        <f t="shared" si="0"/>
        <v>40</v>
      </c>
      <c r="L20" s="28">
        <v>100</v>
      </c>
      <c r="M20" s="29" t="s">
        <v>146</v>
      </c>
      <c r="N20" s="39">
        <v>1.5E-3</v>
      </c>
      <c r="O20" s="30">
        <f>N20*L20</f>
        <v>0.15</v>
      </c>
      <c r="P20" s="39">
        <v>1.5E-3</v>
      </c>
      <c r="Q20" s="39">
        <f>P20*L20</f>
        <v>0.15</v>
      </c>
      <c r="R20" s="94"/>
    </row>
    <row r="21" spans="1:19" ht="26.25" thickBot="1">
      <c r="A21" s="2">
        <v>19</v>
      </c>
      <c r="B21" s="55" t="s">
        <v>122</v>
      </c>
      <c r="C21" s="138" t="s">
        <v>105</v>
      </c>
      <c r="D21" s="79" t="s">
        <v>106</v>
      </c>
      <c r="E21" s="79" t="s">
        <v>108</v>
      </c>
      <c r="F21" s="79" t="s">
        <v>107</v>
      </c>
      <c r="G21" s="111" t="s">
        <v>169</v>
      </c>
      <c r="H21" s="78" t="s">
        <v>145</v>
      </c>
      <c r="I21" s="78" t="s">
        <v>154</v>
      </c>
      <c r="J21" s="101">
        <v>5</v>
      </c>
      <c r="K21" s="32">
        <f t="shared" si="0"/>
        <v>100</v>
      </c>
      <c r="L21" s="32">
        <v>10</v>
      </c>
      <c r="M21" s="112" t="s">
        <v>146</v>
      </c>
      <c r="N21" s="113">
        <v>4.8599999999999997E-2</v>
      </c>
      <c r="O21" s="33">
        <f>N21*L21</f>
        <v>0.48599999999999999</v>
      </c>
      <c r="P21" s="113">
        <v>3.5099999999999999E-2</v>
      </c>
      <c r="Q21" s="113">
        <f>P21*K21</f>
        <v>3.51</v>
      </c>
      <c r="R21" s="133"/>
    </row>
    <row r="22" spans="1:19" ht="16.5" thickBot="1">
      <c r="A22" s="2">
        <v>20</v>
      </c>
      <c r="B22" s="59" t="s">
        <v>25</v>
      </c>
      <c r="C22" s="134" t="s">
        <v>109</v>
      </c>
      <c r="D22" s="85" t="s">
        <v>110</v>
      </c>
      <c r="E22" s="50" t="s">
        <v>170</v>
      </c>
      <c r="F22" s="85" t="s">
        <v>111</v>
      </c>
      <c r="G22" s="114" t="s">
        <v>153</v>
      </c>
      <c r="H22" s="21" t="s">
        <v>145</v>
      </c>
      <c r="I22" s="115" t="s">
        <v>154</v>
      </c>
      <c r="J22" s="116">
        <v>1</v>
      </c>
      <c r="K22" s="22">
        <f t="shared" si="0"/>
        <v>20</v>
      </c>
      <c r="L22" s="22">
        <v>1</v>
      </c>
      <c r="M22" s="117" t="s">
        <v>146</v>
      </c>
      <c r="N22" s="118">
        <v>1.8105</v>
      </c>
      <c r="O22" s="23">
        <f>N22*L22</f>
        <v>1.8105</v>
      </c>
      <c r="P22" s="118">
        <v>1.3363</v>
      </c>
      <c r="Q22" s="118">
        <f>P22*K22</f>
        <v>26.725999999999999</v>
      </c>
      <c r="R22" s="119"/>
    </row>
    <row r="23" spans="1:19" s="13" customFormat="1" ht="16.5" thickBot="1">
      <c r="A23" s="2">
        <v>21</v>
      </c>
      <c r="B23" s="60"/>
      <c r="C23" s="47" t="s">
        <v>112</v>
      </c>
      <c r="D23" s="9" t="s">
        <v>113</v>
      </c>
      <c r="E23" s="9" t="s">
        <v>114</v>
      </c>
      <c r="F23" s="9" t="s">
        <v>114</v>
      </c>
      <c r="G23" s="16" t="s">
        <v>171</v>
      </c>
      <c r="H23" s="7" t="s">
        <v>145</v>
      </c>
      <c r="I23" s="10" t="s">
        <v>154</v>
      </c>
      <c r="J23" s="16">
        <v>1</v>
      </c>
      <c r="K23" s="8">
        <f t="shared" si="0"/>
        <v>20</v>
      </c>
      <c r="L23" s="20">
        <v>10</v>
      </c>
      <c r="M23" s="54" t="s">
        <v>155</v>
      </c>
      <c r="N23" s="51">
        <v>0.88700000000000001</v>
      </c>
      <c r="O23" s="17">
        <f>N23*L23</f>
        <v>8.870000000000001</v>
      </c>
      <c r="P23" s="51">
        <v>0.72150000000000003</v>
      </c>
      <c r="Q23" s="51">
        <f>P23*K23</f>
        <v>14.43</v>
      </c>
      <c r="R23" s="75"/>
    </row>
    <row r="24" spans="1:19" ht="26.25" thickBot="1">
      <c r="A24" s="2">
        <v>22</v>
      </c>
      <c r="B24" s="60"/>
      <c r="C24" s="47" t="s">
        <v>115</v>
      </c>
      <c r="D24" s="9" t="s">
        <v>116</v>
      </c>
      <c r="E24" s="9" t="s">
        <v>117</v>
      </c>
      <c r="F24" s="41" t="s">
        <v>172</v>
      </c>
      <c r="G24" s="7" t="s">
        <v>145</v>
      </c>
      <c r="H24" s="10" t="s">
        <v>154</v>
      </c>
      <c r="I24" s="10" t="s">
        <v>154</v>
      </c>
      <c r="J24" s="5">
        <v>1</v>
      </c>
      <c r="K24" s="8">
        <f t="shared" si="0"/>
        <v>20</v>
      </c>
      <c r="L24" s="8">
        <v>20</v>
      </c>
      <c r="M24" s="14" t="s">
        <v>155</v>
      </c>
      <c r="N24" s="15">
        <v>9.59</v>
      </c>
      <c r="O24" s="17">
        <f>N24*J24</f>
        <v>9.59</v>
      </c>
      <c r="P24" s="15">
        <v>8.0225000000000009</v>
      </c>
      <c r="Q24" s="15">
        <f>P24*L24</f>
        <v>160.45000000000002</v>
      </c>
      <c r="R24" s="46"/>
    </row>
    <row r="25" spans="1:19" ht="16.5" thickBot="1">
      <c r="A25" s="2">
        <v>23</v>
      </c>
      <c r="B25" s="60"/>
      <c r="C25" s="47" t="s">
        <v>118</v>
      </c>
      <c r="D25" s="9" t="s">
        <v>119</v>
      </c>
      <c r="E25" s="9" t="s">
        <v>120</v>
      </c>
      <c r="F25" s="9" t="s">
        <v>121</v>
      </c>
      <c r="G25" s="37" t="s">
        <v>153</v>
      </c>
      <c r="H25" s="19" t="s">
        <v>145</v>
      </c>
      <c r="I25" s="19" t="s">
        <v>154</v>
      </c>
      <c r="J25" s="5">
        <v>2</v>
      </c>
      <c r="K25" s="8">
        <f t="shared" si="0"/>
        <v>40</v>
      </c>
      <c r="L25" s="8">
        <v>20</v>
      </c>
      <c r="M25" s="53" t="s">
        <v>155</v>
      </c>
      <c r="N25" s="17">
        <v>0.70850000000000002</v>
      </c>
      <c r="O25" s="17">
        <f>N25*L25</f>
        <v>14.17</v>
      </c>
      <c r="P25" s="17">
        <v>0.53400000000000003</v>
      </c>
      <c r="Q25" s="15">
        <f>P25*K25</f>
        <v>21.36</v>
      </c>
      <c r="R25" s="46"/>
    </row>
    <row r="26" spans="1:19" ht="16.5" thickBot="1">
      <c r="A26" s="2">
        <v>24</v>
      </c>
      <c r="B26" s="61"/>
      <c r="C26" s="135" t="s">
        <v>123</v>
      </c>
      <c r="D26" s="26" t="s">
        <v>124</v>
      </c>
      <c r="E26" s="26" t="s">
        <v>126</v>
      </c>
      <c r="F26" s="26" t="s">
        <v>125</v>
      </c>
      <c r="G26" s="120" t="s">
        <v>173</v>
      </c>
      <c r="H26" s="105" t="s">
        <v>145</v>
      </c>
      <c r="I26" s="121" t="s">
        <v>154</v>
      </c>
      <c r="J26" s="122">
        <v>1</v>
      </c>
      <c r="K26" s="28">
        <f t="shared" si="0"/>
        <v>20</v>
      </c>
      <c r="L26" s="28">
        <v>1</v>
      </c>
      <c r="M26" s="123" t="s">
        <v>146</v>
      </c>
      <c r="N26" s="30">
        <v>2.7681</v>
      </c>
      <c r="O26" s="30">
        <f>N26*L26</f>
        <v>2.7681</v>
      </c>
      <c r="P26" s="39">
        <v>2.0196999999999998</v>
      </c>
      <c r="Q26" s="39">
        <f>P26*K26</f>
        <v>40.393999999999998</v>
      </c>
      <c r="R26" s="124"/>
    </row>
    <row r="27" spans="1:19" ht="16.5" thickBot="1">
      <c r="A27" s="2">
        <v>25</v>
      </c>
      <c r="B27" s="59" t="s">
        <v>56</v>
      </c>
      <c r="C27" s="134" t="s">
        <v>127</v>
      </c>
      <c r="D27" s="85" t="s">
        <v>128</v>
      </c>
      <c r="E27" s="85" t="s">
        <v>108</v>
      </c>
      <c r="F27" s="85" t="s">
        <v>129</v>
      </c>
      <c r="G27" s="45" t="s">
        <v>169</v>
      </c>
      <c r="H27" s="21" t="s">
        <v>145</v>
      </c>
      <c r="I27" s="115" t="s">
        <v>154</v>
      </c>
      <c r="J27" s="126">
        <v>1</v>
      </c>
      <c r="K27" s="22">
        <f t="shared" si="0"/>
        <v>20</v>
      </c>
      <c r="L27" s="22">
        <v>1</v>
      </c>
      <c r="M27" s="127" t="s">
        <v>146</v>
      </c>
      <c r="N27" s="22">
        <v>0.74480000000000002</v>
      </c>
      <c r="O27" s="22">
        <f>N27*L27</f>
        <v>0.74480000000000002</v>
      </c>
      <c r="P27" s="118">
        <v>0.53739999999999999</v>
      </c>
      <c r="Q27" s="118">
        <f>P27*K27</f>
        <v>10.747999999999999</v>
      </c>
      <c r="R27" s="128"/>
    </row>
    <row r="28" spans="1:19" ht="16.5" thickBot="1">
      <c r="A28" s="2">
        <v>26</v>
      </c>
      <c r="B28" s="60"/>
      <c r="C28" s="47" t="s">
        <v>130</v>
      </c>
      <c r="D28" s="9" t="s">
        <v>131</v>
      </c>
      <c r="E28" s="9" t="s">
        <v>108</v>
      </c>
      <c r="F28" s="9" t="s">
        <v>132</v>
      </c>
      <c r="G28" s="37"/>
      <c r="H28" s="71"/>
      <c r="I28" s="42" t="s">
        <v>154</v>
      </c>
      <c r="J28" s="5">
        <v>1</v>
      </c>
      <c r="K28" s="8">
        <f t="shared" si="0"/>
        <v>20</v>
      </c>
      <c r="L28" s="8"/>
      <c r="M28" s="82"/>
      <c r="N28" s="70"/>
      <c r="O28" s="17"/>
      <c r="P28" s="15"/>
      <c r="Q28" s="15"/>
      <c r="R28" s="129"/>
    </row>
    <row r="29" spans="1:19" ht="16.5" thickBot="1">
      <c r="A29" s="2">
        <v>27</v>
      </c>
      <c r="B29" s="60"/>
      <c r="C29" s="47" t="s">
        <v>133</v>
      </c>
      <c r="D29" s="9" t="s">
        <v>134</v>
      </c>
      <c r="E29" s="9" t="s">
        <v>108</v>
      </c>
      <c r="F29" s="9" t="s">
        <v>135</v>
      </c>
      <c r="G29" s="37" t="s">
        <v>174</v>
      </c>
      <c r="H29" s="19" t="s">
        <v>145</v>
      </c>
      <c r="I29" s="19" t="s">
        <v>154</v>
      </c>
      <c r="J29" s="5">
        <v>1</v>
      </c>
      <c r="K29" s="8">
        <f t="shared" si="0"/>
        <v>20</v>
      </c>
      <c r="L29" s="8" t="s">
        <v>160</v>
      </c>
      <c r="M29" s="82" t="s">
        <v>175</v>
      </c>
      <c r="N29" s="17">
        <v>3.15</v>
      </c>
      <c r="O29" s="17">
        <f>N29*J29</f>
        <v>3.15</v>
      </c>
      <c r="P29" s="15">
        <v>2.7</v>
      </c>
      <c r="Q29" s="15">
        <f>P29*K29</f>
        <v>54</v>
      </c>
      <c r="R29" s="129"/>
    </row>
    <row r="30" spans="1:19" ht="16.5" thickBot="1">
      <c r="A30" s="2">
        <v>28</v>
      </c>
      <c r="B30" s="60"/>
      <c r="C30" s="47" t="s">
        <v>136</v>
      </c>
      <c r="D30" s="9" t="s">
        <v>137</v>
      </c>
      <c r="E30" s="9" t="s">
        <v>108</v>
      </c>
      <c r="F30" s="9" t="s">
        <v>138</v>
      </c>
      <c r="G30" s="37" t="s">
        <v>176</v>
      </c>
      <c r="H30" s="19" t="s">
        <v>145</v>
      </c>
      <c r="I30" s="10" t="s">
        <v>154</v>
      </c>
      <c r="J30" s="5">
        <v>1</v>
      </c>
      <c r="K30" s="8">
        <f t="shared" si="0"/>
        <v>20</v>
      </c>
      <c r="L30" s="7" t="s">
        <v>160</v>
      </c>
      <c r="M30" s="83" t="s">
        <v>177</v>
      </c>
      <c r="N30" s="17">
        <v>0.877</v>
      </c>
      <c r="O30" s="17">
        <f>N30*J30</f>
        <v>0.877</v>
      </c>
      <c r="P30" s="15">
        <v>0.79500000000000004</v>
      </c>
      <c r="Q30" s="15">
        <f>P30*K30</f>
        <v>15.9</v>
      </c>
      <c r="R30" s="130"/>
      <c r="S30" s="1"/>
    </row>
    <row r="31" spans="1:19" ht="16.5" thickBot="1">
      <c r="A31" s="2">
        <v>29</v>
      </c>
      <c r="B31" s="61"/>
      <c r="C31" s="135" t="s">
        <v>139</v>
      </c>
      <c r="D31" s="26" t="s">
        <v>140</v>
      </c>
      <c r="E31" s="26" t="s">
        <v>108</v>
      </c>
      <c r="F31" s="26" t="s">
        <v>141</v>
      </c>
      <c r="G31" s="120" t="s">
        <v>176</v>
      </c>
      <c r="H31" s="105" t="s">
        <v>145</v>
      </c>
      <c r="I31" s="121" t="s">
        <v>154</v>
      </c>
      <c r="J31" s="122">
        <v>1</v>
      </c>
      <c r="K31" s="28">
        <f t="shared" si="0"/>
        <v>20</v>
      </c>
      <c r="L31" s="27" t="s">
        <v>160</v>
      </c>
      <c r="M31" s="131" t="s">
        <v>177</v>
      </c>
      <c r="N31" s="30">
        <v>0.72099999999999997</v>
      </c>
      <c r="O31" s="30">
        <f>N31*J31</f>
        <v>0.72099999999999997</v>
      </c>
      <c r="P31" s="39">
        <v>0.65500000000000003</v>
      </c>
      <c r="Q31" s="39">
        <f>P31*K31</f>
        <v>13.100000000000001</v>
      </c>
      <c r="R31" s="132"/>
      <c r="S31" s="1"/>
    </row>
    <row r="32" spans="1:19" ht="16.5" thickBot="1">
      <c r="A32" s="1"/>
      <c r="B32" s="1"/>
      <c r="C32" s="1"/>
      <c r="G32" s="1"/>
      <c r="H32" s="1"/>
      <c r="J32" s="125" t="s">
        <v>57</v>
      </c>
      <c r="K32" s="125"/>
      <c r="L32" s="1"/>
      <c r="M32" s="1"/>
      <c r="N32" s="1"/>
      <c r="O32" s="49"/>
      <c r="P32" s="1"/>
      <c r="Q32" s="49">
        <f>SUM(Q3:Q31)</f>
        <v>407.71800000000002</v>
      </c>
      <c r="R32" s="1"/>
      <c r="S32" s="1"/>
    </row>
    <row r="33" spans="10:17" ht="15.75">
      <c r="J33" s="62" t="s">
        <v>58</v>
      </c>
      <c r="K33" s="62"/>
      <c r="L33" s="1"/>
      <c r="M33" s="1"/>
      <c r="N33" s="1"/>
      <c r="O33" s="17">
        <f>SUM(O3:O32)</f>
        <v>51.54699999999999</v>
      </c>
      <c r="P33" s="1"/>
      <c r="Q33" s="17">
        <f>Q32/20</f>
        <v>20.385899999999999</v>
      </c>
    </row>
  </sheetData>
  <mergeCells count="8">
    <mergeCell ref="J32:K32"/>
    <mergeCell ref="J33:K33"/>
    <mergeCell ref="A1:R1"/>
    <mergeCell ref="B3:B9"/>
    <mergeCell ref="B10:B11"/>
    <mergeCell ref="B15:B20"/>
    <mergeCell ref="B27:B31"/>
    <mergeCell ref="B22:B26"/>
  </mergeCells>
  <conditionalFormatting sqref="O3:O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{17634760-F266-4682-89C5-EB5F05E41D77}</x14:id>
        </ext>
      </extLst>
    </cfRule>
  </conditionalFormatting>
  <conditionalFormatting sqref="Q3:Q15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{55660422-6C30-4A05-A6C1-DCC473A0984E}</x14:id>
        </ext>
      </extLst>
    </cfRule>
  </conditionalFormatting>
  <conditionalFormatting sqref="J3:K3 J4:J17 K4:K3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:J2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{DD713BC7-2C5D-4E99-B3FF-E54E5108DD5E}</x14:id>
        </ext>
      </extLst>
    </cfRule>
  </conditionalFormatting>
  <conditionalFormatting sqref="Q1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{BD174BE8-1945-44D9-987A-69F455EEF2FA}</x14:id>
        </ext>
      </extLst>
    </cfRule>
  </conditionalFormatting>
  <conditionalFormatting sqref="O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{040682AA-52C0-4122-812C-86D08099E71F}</x14:id>
        </ext>
      </extLst>
    </cfRule>
  </conditionalFormatting>
  <conditionalFormatting sqref="Q17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{8A9943B6-1735-4BC5-9970-87A2632233AB}</x14:id>
        </ext>
      </extLst>
    </cfRule>
  </conditionalFormatting>
  <conditionalFormatting sqref="R18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{5D710F97-1BF7-4784-894E-1861056F6628}</x14:id>
        </ext>
      </extLst>
    </cfRule>
  </conditionalFormatting>
  <conditionalFormatting sqref="R19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{E0E5C7AB-AE3E-4DAC-94D8-975E90381F46}</x14:id>
        </ext>
      </extLst>
    </cfRule>
  </conditionalFormatting>
  <conditionalFormatting sqref="O3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{D303B1BF-399F-4FD3-8071-612234C2C7E4}</x14:id>
        </ext>
      </extLst>
    </cfRule>
  </conditionalFormatting>
  <conditionalFormatting sqref="Q32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{B2B3B4A6-4811-4007-BF5E-106E1DFA73B6}</x14:id>
        </ext>
      </extLst>
    </cfRule>
  </conditionalFormatting>
  <conditionalFormatting sqref="Q33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{F97E9DBD-6126-466E-829A-BB8AB2C09E99}</x14:id>
        </ext>
      </extLst>
    </cfRule>
  </conditionalFormatting>
  <conditionalFormatting sqref="J26:J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8:O26 O28:O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{1BFDD91B-D11F-4318-910D-81019E4B31A6}</x14:id>
        </ext>
      </extLst>
    </cfRule>
  </conditionalFormatting>
  <conditionalFormatting sqref="O3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{9EA755F1-C025-4D58-94E6-65359B37CDA3}</x14:id>
        </ext>
      </extLst>
    </cfRule>
  </conditionalFormatting>
  <conditionalFormatting sqref="O3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{2350DDB0-C313-4FE9-ADFC-030A7019B7EF}</x14:id>
        </ext>
      </extLst>
    </cfRule>
  </conditionalFormatting>
  <conditionalFormatting sqref="O3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{EBD71BC8-AE95-42CA-A15F-2F27758F8889}</x14:id>
        </ext>
      </extLst>
    </cfRule>
  </conditionalFormatting>
  <hyperlinks>
    <hyperlink ref="M5" r:id="rId1"/>
    <hyperlink ref="M6" r:id="rId2"/>
    <hyperlink ref="M7" r:id="rId3"/>
    <hyperlink ref="M3" r:id="rId4"/>
    <hyperlink ref="M8" r:id="rId5"/>
    <hyperlink ref="M15" r:id="rId6"/>
    <hyperlink ref="M17" r:id="rId7"/>
    <hyperlink ref="M18" r:id="rId8"/>
    <hyperlink ref="M19" r:id="rId9"/>
    <hyperlink ref="M20" r:id="rId10"/>
    <hyperlink ref="M25" r:id="rId11"/>
    <hyperlink ref="M4" r:id="rId12"/>
    <hyperlink ref="M9" r:id="rId13"/>
    <hyperlink ref="M10" r:id="rId14"/>
    <hyperlink ref="M11" r:id="rId15"/>
    <hyperlink ref="M12" r:id="rId16"/>
    <hyperlink ref="M14" r:id="rId17"/>
    <hyperlink ref="M16" r:id="rId18"/>
    <hyperlink ref="M21" r:id="rId19"/>
    <hyperlink ref="M22" r:id="rId20"/>
    <hyperlink ref="M23" r:id="rId21"/>
    <hyperlink ref="M24" r:id="rId22"/>
    <hyperlink ref="M26" r:id="rId23"/>
    <hyperlink ref="M27" r:id="rId24"/>
    <hyperlink ref="M29" r:id="rId25"/>
    <hyperlink ref="M30" r:id="rId26"/>
    <hyperlink ref="M31" r:id="rId27"/>
  </hyperlinks>
  <pageMargins left="0.75" right="0.75" top="1" bottom="1" header="0.5" footer="0.5"/>
  <pageSetup orientation="portrait" r:id="rId2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634760-F266-4682-89C5-EB5F05E41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O3:O15</xm:sqref>
        </x14:conditionalFormatting>
        <x14:conditionalFormatting xmlns:xm="http://schemas.microsoft.com/office/excel/2006/main">
          <x14:cfRule type="dataBar" id="{55660422-6C30-4A05-A6C1-DCC473A098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Q3:Q15</xm:sqref>
        </x14:conditionalFormatting>
        <x14:conditionalFormatting xmlns:xm="http://schemas.microsoft.com/office/excel/2006/main">
          <x14:cfRule type="dataBar" id="{DD713BC7-2C5D-4E99-B3FF-E54E5108DD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BD174BE8-1945-44D9-987A-69F455EEF2F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40682AA-52C0-4122-812C-86D08099E7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A9943B6-1735-4BC5-9970-87A2632233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D710F97-1BF7-4784-894E-1861056F66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E5C7AB-AE3E-4DAC-94D8-975E90381F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303B1BF-399F-4FD3-8071-612234C2C7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B2B3B4A6-4811-4007-BF5E-106E1DFA73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F97E9DBD-6126-466E-829A-BB8AB2C09E9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BFDD91B-D11F-4318-910D-81019E4B3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O18:O26 O28:O29</xm:sqref>
        </x14:conditionalFormatting>
        <x14:conditionalFormatting xmlns:xm="http://schemas.microsoft.com/office/excel/2006/main">
          <x14:cfRule type="dataBar" id="{9EA755F1-C025-4D58-94E6-65359B37CD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2350DDB0-C313-4FE9-ADFC-030A7019B7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EBD71BC8-AE95-42CA-A15F-2F27758F88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Windows User</cp:lastModifiedBy>
  <dcterms:created xsi:type="dcterms:W3CDTF">2021-10-30T05:11:00Z</dcterms:created>
  <dcterms:modified xsi:type="dcterms:W3CDTF">2021-11-20T16:23:31Z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2AEC7BF1D4A54C90BD760798A8725765</vt:lpwstr>
  </property>
  <property fmtid="{D5CDD505-2E9C-101B-9397-08002B2CF9AE}" pid="3" name="KSOProductBuildVer">
    <vt:lpwstr>1033-11.2.0.10351</vt:lpwstr>
  </property>
</Properties>
</file>