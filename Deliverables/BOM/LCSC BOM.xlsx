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SH-CircuitCorrections\Deliverables\BOM\"/>
    </mc:Choice>
  </mc:AlternateContent>
  <bookViews>
    <workbookView xWindow="0" yWindow="0" windowWidth="24000" windowHeight="9795"/>
  </bookViews>
  <sheets>
    <sheet name="Sheet1" sheetId="1" r:id="rId1"/>
  </sheets>
  <calcPr calcId="162913"/>
</workbook>
</file>

<file path=xl/calcChain.xml><?xml version="1.0" encoding="utf-8"?>
<calcChain xmlns="http://schemas.openxmlformats.org/spreadsheetml/2006/main">
  <c r="W4" i="1" l="1"/>
  <c r="W5" i="1"/>
  <c r="W6" i="1"/>
  <c r="W7" i="1"/>
  <c r="W8" i="1"/>
  <c r="W9" i="1"/>
  <c r="W10" i="1"/>
  <c r="W11" i="1"/>
  <c r="W12" i="1"/>
  <c r="W13" i="1"/>
  <c r="W14" i="1"/>
  <c r="W3" i="1"/>
  <c r="W15" i="1"/>
  <c r="R15" i="1"/>
  <c r="N15" i="1"/>
  <c r="Y15" i="1" s="1"/>
  <c r="M15" i="1"/>
  <c r="V15" i="1" s="1"/>
  <c r="L15" i="1"/>
  <c r="T15" i="1" s="1"/>
  <c r="R14" i="1"/>
  <c r="N14" i="1"/>
  <c r="Y14" i="1" s="1"/>
  <c r="M14" i="1"/>
  <c r="V14" i="1" s="1"/>
  <c r="L14" i="1"/>
  <c r="T14" i="1" s="1"/>
  <c r="R13" i="1"/>
  <c r="N13" i="1"/>
  <c r="Y13" i="1" s="1"/>
  <c r="M13" i="1"/>
  <c r="V13" i="1" s="1"/>
  <c r="L13" i="1"/>
  <c r="T13" i="1" s="1"/>
  <c r="R12" i="1"/>
  <c r="N12" i="1"/>
  <c r="Y12" i="1" s="1"/>
  <c r="M12" i="1"/>
  <c r="V12" i="1" s="1"/>
  <c r="L12" i="1"/>
  <c r="T12" i="1" s="1"/>
  <c r="R11" i="1"/>
  <c r="N11" i="1"/>
  <c r="Y11" i="1" s="1"/>
  <c r="M11" i="1"/>
  <c r="V11" i="1" s="1"/>
  <c r="L11" i="1"/>
  <c r="T11" i="1" s="1"/>
  <c r="R10" i="1"/>
  <c r="N10" i="1"/>
  <c r="Y10" i="1" s="1"/>
  <c r="M10" i="1"/>
  <c r="V10" i="1" s="1"/>
  <c r="L10" i="1"/>
  <c r="T10" i="1" s="1"/>
  <c r="R9" i="1"/>
  <c r="N9" i="1"/>
  <c r="Y9" i="1" s="1"/>
  <c r="M9" i="1"/>
  <c r="V9" i="1" s="1"/>
  <c r="L9" i="1"/>
  <c r="T9" i="1" s="1"/>
  <c r="Y8" i="1"/>
  <c r="R8" i="1"/>
  <c r="N8" i="1"/>
  <c r="M8" i="1"/>
  <c r="V8" i="1" s="1"/>
  <c r="L8" i="1"/>
  <c r="T8" i="1" s="1"/>
  <c r="N7" i="1"/>
  <c r="Y7" i="1" s="1"/>
  <c r="M7" i="1"/>
  <c r="V7" i="1" s="1"/>
  <c r="L7" i="1"/>
  <c r="T7" i="1" s="1"/>
  <c r="R6" i="1"/>
  <c r="N6" i="1"/>
  <c r="Y6" i="1" s="1"/>
  <c r="M6" i="1"/>
  <c r="V6" i="1" s="1"/>
  <c r="L6" i="1"/>
  <c r="T6" i="1" s="1"/>
  <c r="R5" i="1"/>
  <c r="N5" i="1"/>
  <c r="Y5" i="1" s="1"/>
  <c r="M5" i="1"/>
  <c r="V5" i="1" s="1"/>
  <c r="L5" i="1"/>
  <c r="T5" i="1" s="1"/>
  <c r="R4" i="1"/>
  <c r="N4" i="1"/>
  <c r="Y4" i="1" s="1"/>
  <c r="M4" i="1"/>
  <c r="V4" i="1" s="1"/>
  <c r="L4" i="1"/>
  <c r="T4" i="1" s="1"/>
  <c r="R3" i="1"/>
  <c r="N3" i="1"/>
  <c r="Y3" i="1" s="1"/>
  <c r="M3" i="1"/>
  <c r="V3" i="1" s="1"/>
  <c r="V18" i="1" s="1"/>
  <c r="V19" i="1" s="1"/>
  <c r="L3" i="1"/>
  <c r="T3" i="1" s="1"/>
  <c r="R19" i="1" l="1"/>
  <c r="W18" i="1"/>
  <c r="W19" i="1" s="1"/>
  <c r="Y18" i="1"/>
  <c r="Y19" i="1" s="1"/>
  <c r="T18" i="1"/>
  <c r="T19" i="1" s="1"/>
</calcChain>
</file>

<file path=xl/sharedStrings.xml><?xml version="1.0" encoding="utf-8"?>
<sst xmlns="http://schemas.openxmlformats.org/spreadsheetml/2006/main" count="194" uniqueCount="124">
  <si>
    <t>Bill of Material (BOM) for Stadium_Board</t>
  </si>
  <si>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</si>
  <si>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</si>
  <si>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</si>
  <si>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</si>
  <si>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</si>
  <si>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</si>
  <si>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</si>
  <si>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</si>
  <si>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</si>
  <si>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</si>
  <si>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Quantity (Per Board)</t>
  </si>
  <si>
    <t>Quantity (5 boards)</t>
  </si>
  <si>
    <t>Quantity (20 boards)</t>
  </si>
  <si>
    <t>Quantity (100 boards)</t>
  </si>
  <si>
    <t>LCSC/MOQ</t>
  </si>
  <si>
    <t>LCSC Link</t>
  </si>
  <si>
    <t>Unit Cost(1)</t>
  </si>
  <si>
    <t>Total Cost(1)</t>
  </si>
  <si>
    <t>Unit Cost (5 Boards)</t>
  </si>
  <si>
    <t>Total Cost (5)</t>
  </si>
  <si>
    <t>Unit Cost (20 Boards)</t>
  </si>
  <si>
    <t>Total Cost (20)</t>
  </si>
  <si>
    <t>Total MOQ</t>
  </si>
  <si>
    <t>Unit Cost (100 Boards)</t>
  </si>
  <si>
    <t>Total Cost (100)</t>
  </si>
  <si>
    <t>Remarks</t>
  </si>
  <si>
    <t>Capacitor</t>
  </si>
  <si>
    <t>Aluminum Electrolytic Capacitors 25 Volts 33uF</t>
  </si>
  <si>
    <t>C1</t>
  </si>
  <si>
    <t>Custom</t>
  </si>
  <si>
    <t>VE-330M1ETR-0605</t>
  </si>
  <si>
    <t>Lelon</t>
  </si>
  <si>
    <t>33uF</t>
  </si>
  <si>
    <t>DGSER</t>
  </si>
  <si>
    <t>Diode</t>
  </si>
  <si>
    <t xml:space="preserve">1A 5μA 1kV 1kV 1.1V 1A SMA(DO-214AC) Diodes </t>
  </si>
  <si>
    <t>D1</t>
  </si>
  <si>
    <t>SMA</t>
  </si>
  <si>
    <t>M7</t>
  </si>
  <si>
    <t>Slkor</t>
  </si>
  <si>
    <t>C426571</t>
  </si>
  <si>
    <t>---------</t>
  </si>
  <si>
    <t>LCSC</t>
  </si>
  <si>
    <t xml:space="preserve">3A Single 5μA 50V 1.1V 3A 50V SMB(DO-214AA) Diodes </t>
  </si>
  <si>
    <t>D2, D3, D4</t>
  </si>
  <si>
    <t>S3AB</t>
  </si>
  <si>
    <t>Shandong</t>
  </si>
  <si>
    <t>C437627</t>
  </si>
  <si>
    <t>MOSFET</t>
  </si>
  <si>
    <t>MOSFET P-CH 40V 120A TO263-3</t>
  </si>
  <si>
    <t>Q1, Q2</t>
  </si>
  <si>
    <t>PG-TO263-3-2</t>
  </si>
  <si>
    <t>IPB120P04P4L03ATMA2</t>
  </si>
  <si>
    <t>Infineon</t>
  </si>
  <si>
    <t>IC-Chip</t>
  </si>
  <si>
    <t>Bridge</t>
  </si>
  <si>
    <t>BRIDGE RECT 1PHASE 600V 1A DF-S</t>
  </si>
  <si>
    <t>BR1, BR2</t>
  </si>
  <si>
    <t>DF06S</t>
  </si>
  <si>
    <t>ON Semiconductor / Fairchild</t>
  </si>
  <si>
    <t>C105154</t>
  </si>
  <si>
    <t> 0.4076</t>
  </si>
  <si>
    <t>Resistor</t>
  </si>
  <si>
    <t>RES 560 OHM 1% 1/2W 1210</t>
  </si>
  <si>
    <t>R1, R3</t>
  </si>
  <si>
    <t>RES 1210</t>
  </si>
  <si>
    <t>RC1210FR-07560RL</t>
  </si>
  <si>
    <t>Yageo</t>
  </si>
  <si>
    <t>C728387</t>
  </si>
  <si>
    <t>560R</t>
  </si>
  <si>
    <t>Thick Film Resistors 10kΩ 0805 Chip Resistor</t>
  </si>
  <si>
    <t>R2, R4, R5, R6, R10, R11</t>
  </si>
  <si>
    <t>RES 0805</t>
  </si>
  <si>
    <t>0805W8F1002T5E</t>
  </si>
  <si>
    <t>UNI-ROYAL</t>
  </si>
  <si>
    <t>C17414</t>
  </si>
  <si>
    <t>10K</t>
  </si>
  <si>
    <t>Thick Film Resistors 2Ω 2512 Chip Resistor</t>
  </si>
  <si>
    <t>R7, R12, R13, R14, R15, R16</t>
  </si>
  <si>
    <t>RES 2512</t>
  </si>
  <si>
    <t>CRH2512J2R00E04Z</t>
  </si>
  <si>
    <t>Ever Ohms Tech</t>
  </si>
  <si>
    <t>C91926</t>
  </si>
  <si>
    <t>HP122WF200KT4E</t>
  </si>
  <si>
    <t>2Ω</t>
  </si>
  <si>
    <t>tolerance is change</t>
  </si>
  <si>
    <t>Thick Film Resistors 2.4Ω 1210 Chip Resistor</t>
  </si>
  <si>
    <t>R8, R9</t>
  </si>
  <si>
    <t>CR1210J2R40P05S</t>
  </si>
  <si>
    <t>C474259</t>
  </si>
  <si>
    <t>1210W2J024JT5E</t>
  </si>
  <si>
    <t>2.4Ω</t>
  </si>
  <si>
    <t>IC</t>
  </si>
  <si>
    <t>OPTOISO 4.17KV TRANS W/BASE 6SMD</t>
  </si>
  <si>
    <t>U1, U2</t>
  </si>
  <si>
    <t>4N25SM</t>
  </si>
  <si>
    <t>Aliexpress</t>
  </si>
  <si>
    <t>500mA Jack DCPowerReceptacle 6.4mm 2.5mm 14.2*9.0mm AC/DC Power Connectors ROHS</t>
  </si>
  <si>
    <t>J1</t>
  </si>
  <si>
    <t>DC-005-25A</t>
  </si>
  <si>
    <t>Korean Hroparts Elec</t>
  </si>
  <si>
    <t>C136715</t>
  </si>
  <si>
    <t>CONN RCPT USB2.0 TYPEA 4POS R/A</t>
  </si>
  <si>
    <t>J2</t>
  </si>
  <si>
    <t>292303-1</t>
  </si>
  <si>
    <t>TE Connectivity</t>
  </si>
  <si>
    <t>16 Pin Right angle JST Conn 2 mm Pitch</t>
  </si>
  <si>
    <t>J6</t>
  </si>
  <si>
    <t>0220164-162121</t>
  </si>
  <si>
    <t>Quotation Required</t>
  </si>
  <si>
    <t>Solder Bridge ON</t>
  </si>
  <si>
    <t>J4,J5</t>
  </si>
  <si>
    <t>-</t>
  </si>
  <si>
    <t>DONOT MOUNT</t>
  </si>
  <si>
    <t>Test Point ON</t>
  </si>
  <si>
    <t>B,G,GND,R,V1,V2,W</t>
  </si>
  <si>
    <t xml:space="preserve">Total Component Cost </t>
  </si>
  <si>
    <t>Single Board Cost</t>
  </si>
  <si>
    <t>----------</t>
  </si>
  <si>
    <t>-------------</t>
  </si>
  <si>
    <t>win-source</t>
  </si>
  <si>
    <t>Minimum Order Quantity =60</t>
  </si>
  <si>
    <t xml:space="preserve">Connector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</si>
</sst>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&quot;$&quot;#,##0.0000"/>
    <numFmt numFmtId="169" formatCode="&quot;$&quot;#,##0.00_);[Red]\(&quot;$&quot;#,##0.00\)"/>
    <numFmt numFmtId="170" formatCode="_-[$$-409]* #,##0.00_ ;_-[$$-409]* \-#,##0.00\ ;_-[$$-409]* &quot;-&quot;??_ ;_-@_ "/>
  </numFmts>
  <fonts count="15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</font>
    <font>
      <b/>
      <sz val="11"/>
      <color theme="1"/>
      <name val="Calibri"/>
      <charset val="134"/>
    </font>
    <font>
      <sz val="11"/>
      <color rgb="FFFF0000"/>
      <name val="Calibri"/>
      <charset val="134"/>
    </font>
    <font>
      <b/>
      <sz val="16"/>
      <name val="Calibri"/>
      <charset val="134"/>
      <scheme val="minor"/>
    </font>
    <font>
      <u/>
      <sz val="11"/>
      <color rgb="FF0000FF"/>
      <name val="Calibri"/>
      <scheme val="minor"/>
    </font>
    <font>
      <strike/>
      <sz val="10"/>
      <color theme="1"/>
      <name val="Calibri"/>
      <family val="2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u/>
      <sz val="10"/>
      <color rgb="FF800080"/>
      <name val="Calibri"/>
      <family val="2"/>
    </font>
    <font>
      <u/>
      <sz val="10"/>
      <color rgb="FF0000FF"/>
      <name val="Calibri"/>
      <family val="2"/>
    </font>
    <font>
      <sz val="10"/>
      <color rgb="FF333333"/>
      <name val="Calibri"/>
      <family val="2"/>
    </font>
    <font>
      <sz val="10"/>
      <color rgb="FFFF0000"/>
      <name val="Calibri"/>
      <family val="2"/>
    </font>
    <font>
      <b/>
      <strike/>
      <sz val="10"/>
      <color rgb="FFFF0000"/>
      <name val="Calibri"/>
      <family val="2"/>
    </font>
    <font>
      <b/>
      <sz val="11"/>
      <color theme="1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/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99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3" fillId="6" borderId="0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0" fontId="0" fillId="0" borderId="0" xfId="0" applyFont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1" fillId="2" borderId="18" xfId="0" applyFont="1" applyFill="1" applyBorder="1" applyAlignment="1">
      <alignment horizontal="center" vertical="center"/>
    </xf>
    <xf numFmtId="0" fontId="4" fillId="6" borderId="16" xfId="0" applyFont="1" applyFill="1" applyBorder="1" applyAlignment="1">
      <alignment horizontal="center" wrapText="1"/>
    </xf>
    <xf numFmtId="0" fontId="4" fillId="6" borderId="0" xfId="0" applyFont="1" applyFill="1" applyAlignment="1">
      <alignment horizontal="center" wrapText="1"/>
    </xf>
    <xf numFmtId="0" fontId="2" fillId="0" borderId="7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7" fillId="0" borderId="15" xfId="0" quotePrefix="1" applyFont="1" applyFill="1" applyBorder="1" applyAlignment="1">
      <alignment horizontal="center" vertical="center"/>
    </xf>
    <xf numFmtId="0" fontId="8" fillId="0" borderId="6" xfId="0" quotePrefix="1" applyFont="1" applyBorder="1" applyAlignment="1">
      <alignment horizontal="center" vertical="center"/>
    </xf>
    <xf numFmtId="0" fontId="8" fillId="0" borderId="9" xfId="0" quotePrefix="1" applyFont="1" applyBorder="1" applyAlignment="1">
      <alignment horizontal="center" vertical="center"/>
    </xf>
    <xf numFmtId="0" fontId="8" fillId="0" borderId="12" xfId="0" quotePrefix="1" applyFont="1" applyBorder="1" applyAlignment="1">
      <alignment horizontal="center" vertical="center"/>
    </xf>
    <xf numFmtId="0" fontId="8" fillId="0" borderId="15" xfId="0" quotePrefix="1" applyFont="1" applyBorder="1" applyAlignment="1">
      <alignment horizontal="center" vertical="center"/>
    </xf>
    <xf numFmtId="0" fontId="8" fillId="4" borderId="15" xfId="0" quotePrefix="1" applyFont="1" applyFill="1" applyBorder="1" applyAlignment="1">
      <alignment horizontal="center" vertical="center"/>
    </xf>
    <xf numFmtId="0" fontId="8" fillId="0" borderId="5" xfId="0" quotePrefix="1" applyFont="1" applyFill="1" applyBorder="1" applyAlignment="1">
      <alignment horizontal="left" vertical="center"/>
    </xf>
    <xf numFmtId="0" fontId="8" fillId="6" borderId="6" xfId="0" quotePrefix="1" applyFont="1" applyFill="1" applyBorder="1" applyAlignment="1">
      <alignment horizontal="center" vertical="center"/>
    </xf>
    <xf numFmtId="0" fontId="8" fillId="0" borderId="6" xfId="0" applyFont="1" applyFill="1" applyBorder="1" applyAlignment="1">
      <alignment horizontal="center" vertical="center"/>
    </xf>
    <xf numFmtId="0" fontId="8" fillId="0" borderId="6" xfId="0" quotePrefix="1" applyFont="1" applyFill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169" fontId="8" fillId="0" borderId="6" xfId="0" applyNumberFormat="1" applyFont="1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8" fillId="0" borderId="8" xfId="0" quotePrefix="1" applyFont="1" applyFill="1" applyBorder="1" applyAlignment="1">
      <alignment horizontal="left" vertical="center"/>
    </xf>
    <xf numFmtId="0" fontId="8" fillId="6" borderId="9" xfId="0" quotePrefix="1" applyFont="1" applyFill="1" applyBorder="1" applyAlignment="1">
      <alignment horizontal="center" vertical="center"/>
    </xf>
    <xf numFmtId="0" fontId="8" fillId="0" borderId="9" xfId="0" quotePrefix="1" applyFont="1" applyFill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8" fillId="0" borderId="9" xfId="0" applyFont="1" applyFill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10" fillId="0" borderId="9" xfId="1" applyFont="1" applyBorder="1" applyAlignment="1">
      <alignment horizontal="center" vertical="center"/>
    </xf>
    <xf numFmtId="169" fontId="8" fillId="0" borderId="9" xfId="0" applyNumberFormat="1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8" fillId="0" borderId="11" xfId="0" quotePrefix="1" applyFont="1" applyFill="1" applyBorder="1" applyAlignment="1">
      <alignment horizontal="left" vertical="center"/>
    </xf>
    <xf numFmtId="0" fontId="8" fillId="6" borderId="12" xfId="0" quotePrefix="1" applyFont="1" applyFill="1" applyBorder="1" applyAlignment="1">
      <alignment horizontal="center" vertical="center"/>
    </xf>
    <xf numFmtId="0" fontId="8" fillId="0" borderId="12" xfId="0" quotePrefix="1" applyFont="1" applyFill="1" applyBorder="1" applyAlignment="1">
      <alignment horizontal="center" vertical="center"/>
    </xf>
    <xf numFmtId="0" fontId="11" fillId="0" borderId="12" xfId="0" applyFont="1" applyBorder="1" applyAlignment="1">
      <alignment horizontal="center" vertical="center"/>
    </xf>
    <xf numFmtId="0" fontId="8" fillId="0" borderId="12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/>
    </xf>
    <xf numFmtId="0" fontId="9" fillId="0" borderId="12" xfId="1" applyFont="1" applyBorder="1" applyAlignment="1">
      <alignment horizontal="center" vertical="center"/>
    </xf>
    <xf numFmtId="169" fontId="8" fillId="0" borderId="12" xfId="0" applyNumberFormat="1" applyFont="1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9" fillId="0" borderId="6" xfId="1" applyFont="1" applyBorder="1" applyAlignment="1">
      <alignment horizontal="center" vertical="center"/>
    </xf>
    <xf numFmtId="0" fontId="9" fillId="0" borderId="9" xfId="1" applyFont="1" applyBorder="1" applyAlignment="1">
      <alignment horizontal="center" vertical="center"/>
    </xf>
    <xf numFmtId="0" fontId="8" fillId="0" borderId="14" xfId="0" applyFont="1" applyFill="1" applyBorder="1" applyAlignment="1">
      <alignment horizontal="left" vertical="center"/>
    </xf>
    <xf numFmtId="0" fontId="8" fillId="6" borderId="15" xfId="0" quotePrefix="1" applyFont="1" applyFill="1" applyBorder="1" applyAlignment="1">
      <alignment horizontal="center" vertical="center"/>
    </xf>
    <xf numFmtId="0" fontId="8" fillId="0" borderId="15" xfId="0" quotePrefix="1" applyFont="1" applyFill="1" applyBorder="1" applyAlignment="1">
      <alignment horizontal="center" vertical="center"/>
    </xf>
    <xf numFmtId="0" fontId="11" fillId="3" borderId="15" xfId="0" applyFont="1" applyFill="1" applyBorder="1" applyAlignment="1">
      <alignment horizontal="center" vertical="center" wrapText="1"/>
    </xf>
    <xf numFmtId="0" fontId="8" fillId="0" borderId="15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/>
    </xf>
    <xf numFmtId="0" fontId="9" fillId="0" borderId="15" xfId="1" applyFont="1" applyBorder="1" applyAlignment="1">
      <alignment horizontal="center" vertical="center"/>
    </xf>
    <xf numFmtId="169" fontId="8" fillId="0" borderId="15" xfId="0" applyNumberFormat="1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0" fontId="11" fillId="0" borderId="15" xfId="0" applyFont="1" applyBorder="1" applyAlignment="1">
      <alignment horizontal="center" vertical="center"/>
    </xf>
    <xf numFmtId="0" fontId="10" fillId="0" borderId="15" xfId="1" applyFont="1" applyBorder="1" applyAlignment="1">
      <alignment horizontal="center" vertical="center"/>
    </xf>
    <xf numFmtId="0" fontId="8" fillId="4" borderId="22" xfId="0" applyFont="1" applyFill="1" applyBorder="1" applyAlignment="1">
      <alignment horizontal="center" vertical="center"/>
    </xf>
    <xf numFmtId="0" fontId="8" fillId="0" borderId="11" xfId="0" applyFont="1" applyFill="1" applyBorder="1" applyAlignment="1">
      <alignment horizontal="left" vertical="center"/>
    </xf>
    <xf numFmtId="0" fontId="10" fillId="0" borderId="12" xfId="1" applyFont="1" applyBorder="1" applyAlignment="1">
      <alignment horizontal="center" vertical="center"/>
    </xf>
    <xf numFmtId="0" fontId="11" fillId="3" borderId="9" xfId="0" applyFont="1" applyFill="1" applyBorder="1" applyAlignment="1">
      <alignment horizontal="center" vertical="center" wrapText="1"/>
    </xf>
    <xf numFmtId="0" fontId="8" fillId="4" borderId="14" xfId="0" quotePrefix="1" applyFont="1" applyFill="1" applyBorder="1" applyAlignment="1">
      <alignment horizontal="left" vertical="center"/>
    </xf>
    <xf numFmtId="0" fontId="8" fillId="4" borderId="15" xfId="0" applyFont="1" applyFill="1" applyBorder="1" applyAlignment="1">
      <alignment horizontal="center" vertical="center"/>
    </xf>
    <xf numFmtId="169" fontId="8" fillId="4" borderId="15" xfId="0" applyNumberFormat="1" applyFont="1" applyFill="1" applyBorder="1" applyAlignment="1">
      <alignment horizontal="center" vertical="center"/>
    </xf>
    <xf numFmtId="0" fontId="7" fillId="5" borderId="14" xfId="0" applyFont="1" applyFill="1" applyBorder="1" applyAlignment="1">
      <alignment horizontal="left" vertical="center" wrapText="1"/>
    </xf>
    <xf numFmtId="0" fontId="12" fillId="5" borderId="15" xfId="0" quotePrefix="1" applyFont="1" applyFill="1" applyBorder="1" applyAlignment="1">
      <alignment horizontal="center" vertical="center"/>
    </xf>
    <xf numFmtId="0" fontId="7" fillId="5" borderId="15" xfId="0" applyFont="1" applyFill="1" applyBorder="1" applyAlignment="1">
      <alignment horizontal="center" vertical="center"/>
    </xf>
    <xf numFmtId="164" fontId="7" fillId="5" borderId="15" xfId="0" applyNumberFormat="1" applyFont="1" applyFill="1" applyBorder="1" applyAlignment="1">
      <alignment horizontal="center" vertical="center"/>
    </xf>
    <xf numFmtId="170" fontId="13" fillId="5" borderId="22" xfId="0" applyNumberFormat="1" applyFont="1" applyFill="1" applyBorder="1" applyAlignment="1">
      <alignment horizontal="center" vertical="center"/>
    </xf>
    <xf numFmtId="0" fontId="7" fillId="5" borderId="11" xfId="0" applyFont="1" applyFill="1" applyBorder="1" applyAlignment="1">
      <alignment horizontal="left" vertical="center" wrapText="1"/>
    </xf>
    <xf numFmtId="0" fontId="12" fillId="5" borderId="12" xfId="0" quotePrefix="1" applyFont="1" applyFill="1" applyBorder="1" applyAlignment="1">
      <alignment horizontal="center" vertical="center"/>
    </xf>
    <xf numFmtId="0" fontId="7" fillId="5" borderId="12" xfId="0" applyFont="1" applyFill="1" applyBorder="1" applyAlignment="1">
      <alignment horizontal="center" vertical="center"/>
    </xf>
    <xf numFmtId="164" fontId="7" fillId="5" borderId="12" xfId="0" applyNumberFormat="1" applyFont="1" applyFill="1" applyBorder="1" applyAlignment="1">
      <alignment horizontal="center" vertical="center"/>
    </xf>
    <xf numFmtId="170" fontId="13" fillId="5" borderId="21" xfId="0" applyNumberFormat="1" applyFont="1" applyFill="1" applyBorder="1" applyAlignment="1">
      <alignment horizontal="center" vertical="center"/>
    </xf>
    <xf numFmtId="0" fontId="7" fillId="0" borderId="12" xfId="0" quotePrefix="1" applyFont="1" applyFill="1" applyBorder="1" applyAlignment="1">
      <alignment horizontal="center" vertical="center"/>
    </xf>
    <xf numFmtId="0" fontId="8" fillId="0" borderId="24" xfId="0" quotePrefix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4" fillId="0" borderId="7" xfId="0" applyFont="1" applyBorder="1" applyAlignment="1">
      <alignment horizontal="center" vertical="center"/>
    </xf>
    <xf numFmtId="0" fontId="8" fillId="0" borderId="25" xfId="0" quotePrefix="1" applyFont="1" applyFill="1" applyBorder="1" applyAlignment="1">
      <alignment horizontal="left" vertical="center"/>
    </xf>
    <xf numFmtId="0" fontId="8" fillId="6" borderId="24" xfId="0" quotePrefix="1" applyFont="1" applyFill="1" applyBorder="1" applyAlignment="1">
      <alignment horizontal="center" vertical="center"/>
    </xf>
    <xf numFmtId="0" fontId="8" fillId="0" borderId="24" xfId="0" applyFont="1" applyFill="1" applyBorder="1" applyAlignment="1">
      <alignment horizontal="center" vertical="center"/>
    </xf>
    <xf numFmtId="0" fontId="8" fillId="0" borderId="24" xfId="0" quotePrefix="1" applyFont="1" applyFill="1" applyBorder="1" applyAlignment="1">
      <alignment horizontal="center" vertical="center"/>
    </xf>
    <xf numFmtId="0" fontId="8" fillId="0" borderId="24" xfId="0" applyFont="1" applyBorder="1" applyAlignment="1">
      <alignment horizontal="center" vertical="center"/>
    </xf>
    <xf numFmtId="0" fontId="10" fillId="0" borderId="24" xfId="1" applyFont="1" applyBorder="1" applyAlignment="1">
      <alignment horizontal="center" vertical="center"/>
    </xf>
    <xf numFmtId="169" fontId="8" fillId="0" borderId="24" xfId="0" applyNumberFormat="1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11" fillId="0" borderId="24" xfId="0" applyFont="1" applyBorder="1" applyAlignment="1">
      <alignment horizontal="center" vertical="center"/>
    </xf>
    <xf numFmtId="0" fontId="9" fillId="0" borderId="24" xfId="1" applyFont="1" applyBorder="1" applyAlignment="1">
      <alignment horizontal="center" vertical="center"/>
    </xf>
    <xf numFmtId="0" fontId="8" fillId="0" borderId="25" xfId="0" applyFont="1" applyBorder="1" applyAlignment="1">
      <alignment vertical="center" wrapText="1"/>
    </xf>
    <xf numFmtId="0" fontId="8" fillId="0" borderId="14" xfId="0" applyFont="1" applyBorder="1" applyAlignment="1">
      <alignment vertical="center" wrapText="1"/>
    </xf>
    <xf numFmtId="0" fontId="7" fillId="5" borderId="15" xfId="0" applyFont="1" applyFill="1" applyBorder="1" applyAlignment="1">
      <alignment horizontal="center" vertical="center" wrapText="1"/>
    </xf>
    <xf numFmtId="0" fontId="6" fillId="5" borderId="15" xfId="0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0" fontId="6" fillId="5" borderId="12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liexpress.com/item/4001142116833.html?spm=a2g0o.productlist.0.0.3515329d8EkY1u&amp;algo_pvid=76f6179c-bc7c-45d1-ae8f-d80ed9afb681&amp;algo_exp_id=76f6179c-bc7c-45d1-ae8f-d80ed9afb681-0&amp;pdp_ext_f=%7B%22sku_id%22%3A%2210000014880778866%22%7D" TargetMode="External"/><Relationship Id="rId13" Type="http://schemas.openxmlformats.org/officeDocument/2006/relationships/printerSettings" Target="../printerSettings/printerSettings1.bin"/><Relationship Id="rId3" Type="http://schemas.openxmlformats.org/officeDocument/2006/relationships/hyperlink" Target="https://lcsc.com/product-detail/Chip-Resistor-Surface-Mount_YAGEO-RC1210FR-07560RL_C728387.html" TargetMode="External"/><Relationship Id="rId7" Type="http://schemas.openxmlformats.org/officeDocument/2006/relationships/hyperlink" Target="https://www.ic-grd.com/P-04140086-IPB120P04P4L03ATMA2" TargetMode="External"/><Relationship Id="rId12" Type="http://schemas.openxmlformats.org/officeDocument/2006/relationships/hyperlink" Target="https://www.win-source.net/te-connectivity-292303-1.html" TargetMode="External"/><Relationship Id="rId2" Type="http://schemas.openxmlformats.org/officeDocument/2006/relationships/hyperlink" Target="https://lcsc.com/product-detail/Bridge-Rectifiers_onsemi-DF06S_C105154.html" TargetMode="External"/><Relationship Id="rId1" Type="http://schemas.openxmlformats.org/officeDocument/2006/relationships/hyperlink" Target="https://lcsc.com/product-detail/Diodes-General-Purpose_Shandong-Jingdao-Microelectronics-S3AB_C437627.html" TargetMode="External"/><Relationship Id="rId6" Type="http://schemas.openxmlformats.org/officeDocument/2006/relationships/hyperlink" Target="https://lcsc.com/product-detail/Diodes-General-Purpose_Slkor-SLKORMICRO-Elec-M7_C426571.html" TargetMode="External"/><Relationship Id="rId11" Type="http://schemas.openxmlformats.org/officeDocument/2006/relationships/hyperlink" Target="https://www.dgser.com/product/details/lelon/ve-330m1etr-0605.html" TargetMode="External"/><Relationship Id="rId5" Type="http://schemas.openxmlformats.org/officeDocument/2006/relationships/hyperlink" Target="https://lcsc.com/product-detail/AC-DC-Power-Connectors_Korean-Hroparts-Elec-DC-005-25A_C136715.html" TargetMode="External"/><Relationship Id="rId10" Type="http://schemas.openxmlformats.org/officeDocument/2006/relationships/hyperlink" Target="https://lcsc.com/product-detail/Chip-Resistor-Surface-Mount_UNI-ROYAL-Uniroyal-Elec-1210W2J024JT5E_C474259.html" TargetMode="External"/><Relationship Id="rId4" Type="http://schemas.openxmlformats.org/officeDocument/2006/relationships/hyperlink" Target="https://lcsc.com/product-detail/Chip-Resistor-Surface-Mount_UNI-ROYAL-Uniroyal-Elec-0805W8F1002T5E_C17414.html" TargetMode="External"/><Relationship Id="rId9" Type="http://schemas.openxmlformats.org/officeDocument/2006/relationships/hyperlink" Target="https://lcsc.com/product-detail/Chip-Resistor-Surface-Mount_UNI-ROYAL-Uniroyal-Elec-HP122WF200KT4E_C91926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A19"/>
  <sheetViews>
    <sheetView tabSelected="1" workbookViewId="0">
      <selection activeCell="A19" sqref="A19"/>
    </sheetView>
  </sheetViews>
  <sheetFormatPr defaultColWidth="9.140625" defaultRowHeight="15"/>
  <cols>
    <col min="1" max="1" width="6.7109375" bestFit="1" customWidth="1"/>
    <col min="2" max="2" width="14.28515625" customWidth="1"/>
    <col min="3" max="3" width="74.140625" bestFit="1" customWidth="1"/>
    <col min="4" max="4" width="22.7109375" bestFit="1" customWidth="1"/>
    <col min="5" max="5" width="20.5703125" bestFit="1" customWidth="1"/>
    <col min="6" max="6" width="28.42578125" bestFit="1" customWidth="1"/>
    <col min="7" max="7" width="24.7109375" bestFit="1" customWidth="1"/>
    <col min="8" max="8" width="14.28515625" bestFit="1" customWidth="1"/>
    <col min="9" max="9" width="15.5703125" bestFit="1" customWidth="1"/>
    <col min="11" max="11" width="23.42578125" customWidth="1"/>
    <col min="12" max="12" width="20.42578125" bestFit="1" customWidth="1"/>
    <col min="13" max="13" width="22" customWidth="1"/>
    <col min="14" max="14" width="23.28515625" customWidth="1"/>
    <col min="15" max="15" width="11.5703125" bestFit="1" customWidth="1"/>
    <col min="16" max="16" width="10.5703125" customWidth="1"/>
    <col min="17" max="17" width="13.42578125" customWidth="1"/>
    <col min="18" max="18" width="13.42578125" bestFit="1" customWidth="1"/>
    <col min="19" max="19" width="22.140625" customWidth="1"/>
    <col min="20" max="20" width="14" bestFit="1" customWidth="1"/>
    <col min="21" max="21" width="23.42578125" customWidth="1"/>
    <col min="22" max="23" width="15" customWidth="1"/>
    <col min="24" max="24" width="24.7109375" customWidth="1"/>
    <col min="25" max="25" width="17.5703125" customWidth="1"/>
    <col min="26" max="26" width="24.5703125" bestFit="1" customWidth="1"/>
  </cols>
  <sheetData>
    <row r="1" spans="1:27" ht="16.5" thickBot="1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8"/>
      <c r="W1" s="8"/>
      <c r="X1" s="8"/>
      <c r="Y1" s="8"/>
      <c r="Z1" s="9"/>
    </row>
    <row r="2" spans="1:27" ht="16.5" thickBot="1">
      <c r="A2" s="80" t="s">
        <v>1</v>
      </c>
      <c r="B2" s="80" t="s">
        <v>2</v>
      </c>
      <c r="C2" s="80" t="s">
        <v>3</v>
      </c>
      <c r="D2" s="80" t="s">
        <v>4</v>
      </c>
      <c r="E2" s="80" t="s">
        <v>5</v>
      </c>
      <c r="F2" s="80" t="s">
        <v>6</v>
      </c>
      <c r="G2" s="80" t="s">
        <v>7</v>
      </c>
      <c r="H2" s="80" t="s">
        <v>8</v>
      </c>
      <c r="I2" s="80" t="s">
        <v>9</v>
      </c>
      <c r="J2" s="80" t="s">
        <v>10</v>
      </c>
      <c r="K2" s="80" t="s">
        <v>11</v>
      </c>
      <c r="L2" s="80" t="s">
        <v>12</v>
      </c>
      <c r="M2" s="80" t="s">
        <v>13</v>
      </c>
      <c r="N2" s="80" t="s">
        <v>14</v>
      </c>
      <c r="O2" s="80" t="s">
        <v>15</v>
      </c>
      <c r="P2" s="80" t="s">
        <v>16</v>
      </c>
      <c r="Q2" s="80" t="s">
        <v>17</v>
      </c>
      <c r="R2" s="80" t="s">
        <v>18</v>
      </c>
      <c r="S2" s="80" t="s">
        <v>19</v>
      </c>
      <c r="T2" s="80" t="s">
        <v>20</v>
      </c>
      <c r="U2" s="80" t="s">
        <v>21</v>
      </c>
      <c r="V2" s="80" t="s">
        <v>22</v>
      </c>
      <c r="W2" s="80" t="s">
        <v>23</v>
      </c>
      <c r="X2" s="80" t="s">
        <v>24</v>
      </c>
      <c r="Y2" s="80" t="s">
        <v>25</v>
      </c>
      <c r="Z2" s="80" t="s">
        <v>26</v>
      </c>
    </row>
    <row r="3" spans="1:27" ht="16.5" thickBot="1">
      <c r="A3" s="80">
        <v>1</v>
      </c>
      <c r="B3" s="78" t="s">
        <v>27</v>
      </c>
      <c r="C3" s="82" t="s">
        <v>28</v>
      </c>
      <c r="D3" s="83" t="s">
        <v>29</v>
      </c>
      <c r="E3" s="84" t="s">
        <v>30</v>
      </c>
      <c r="F3" s="85" t="s">
        <v>31</v>
      </c>
      <c r="G3" s="85" t="s">
        <v>32</v>
      </c>
      <c r="H3" s="77" t="s">
        <v>119</v>
      </c>
      <c r="I3" s="77" t="s">
        <v>120</v>
      </c>
      <c r="J3" s="85" t="s">
        <v>33</v>
      </c>
      <c r="K3" s="84">
        <v>1</v>
      </c>
      <c r="L3" s="86">
        <f>K3*5</f>
        <v>5</v>
      </c>
      <c r="M3" s="86">
        <f>K3*20</f>
        <v>20</v>
      </c>
      <c r="N3" s="86">
        <f>K3*100</f>
        <v>100</v>
      </c>
      <c r="O3" s="86">
        <v>120</v>
      </c>
      <c r="P3" s="87" t="s">
        <v>34</v>
      </c>
      <c r="Q3" s="88">
        <v>0.05</v>
      </c>
      <c r="R3" s="88">
        <f>Q3*K3</f>
        <v>0.05</v>
      </c>
      <c r="S3" s="88">
        <v>0.05</v>
      </c>
      <c r="T3" s="88">
        <f>S3*L3</f>
        <v>0.25</v>
      </c>
      <c r="U3" s="88">
        <v>0.05</v>
      </c>
      <c r="V3" s="88">
        <f>U3*M3</f>
        <v>1</v>
      </c>
      <c r="W3" s="88">
        <f>X3*O3</f>
        <v>6</v>
      </c>
      <c r="X3" s="88">
        <v>0.05</v>
      </c>
      <c r="Y3" s="88">
        <f>X3*N3</f>
        <v>5</v>
      </c>
      <c r="Z3" s="89"/>
      <c r="AA3" s="5"/>
    </row>
    <row r="4" spans="1:27" ht="16.5" thickBot="1">
      <c r="A4" s="80">
        <v>2</v>
      </c>
      <c r="B4" s="12" t="s">
        <v>35</v>
      </c>
      <c r="C4" s="28" t="s">
        <v>36</v>
      </c>
      <c r="D4" s="29" t="s">
        <v>37</v>
      </c>
      <c r="E4" s="30" t="s">
        <v>38</v>
      </c>
      <c r="F4" s="30" t="s">
        <v>39</v>
      </c>
      <c r="G4" s="30" t="s">
        <v>40</v>
      </c>
      <c r="H4" s="31" t="s">
        <v>41</v>
      </c>
      <c r="I4" s="17" t="s">
        <v>120</v>
      </c>
      <c r="J4" s="30" t="s">
        <v>42</v>
      </c>
      <c r="K4" s="32">
        <v>1</v>
      </c>
      <c r="L4" s="33">
        <f t="shared" ref="L4:L15" si="0">K4*5</f>
        <v>5</v>
      </c>
      <c r="M4" s="33">
        <f t="shared" ref="M4:M15" si="1">K4*20</f>
        <v>20</v>
      </c>
      <c r="N4" s="33">
        <f t="shared" ref="N4:N15" si="2">K4*100</f>
        <v>100</v>
      </c>
      <c r="O4" s="33">
        <v>150</v>
      </c>
      <c r="P4" s="34" t="s">
        <v>43</v>
      </c>
      <c r="Q4" s="35">
        <v>0.01</v>
      </c>
      <c r="R4" s="35">
        <f t="shared" ref="R4:R15" si="3">Q4*K4</f>
        <v>0.01</v>
      </c>
      <c r="S4" s="35">
        <v>0.01</v>
      </c>
      <c r="T4" s="35">
        <f t="shared" ref="T4:T15" si="4">S4*L4</f>
        <v>0.05</v>
      </c>
      <c r="U4" s="35">
        <v>0.01</v>
      </c>
      <c r="V4" s="35">
        <f t="shared" ref="V4:V15" si="5">U4*M4</f>
        <v>0.2</v>
      </c>
      <c r="W4" s="35">
        <f t="shared" ref="W4:W14" si="6">X4*O4</f>
        <v>1.5</v>
      </c>
      <c r="X4" s="35">
        <v>0.01</v>
      </c>
      <c r="Y4" s="35">
        <f t="shared" ref="Y4:Y15" si="7">X4*N4</f>
        <v>1</v>
      </c>
      <c r="Z4" s="36"/>
      <c r="AA4" s="5"/>
    </row>
    <row r="5" spans="1:27" ht="16.5" thickBot="1">
      <c r="A5" s="80">
        <v>3</v>
      </c>
      <c r="B5" s="13"/>
      <c r="C5" s="37" t="s">
        <v>44</v>
      </c>
      <c r="D5" s="38" t="s">
        <v>45</v>
      </c>
      <c r="E5" s="39" t="s">
        <v>46</v>
      </c>
      <c r="F5" s="39" t="s">
        <v>46</v>
      </c>
      <c r="G5" s="39" t="s">
        <v>47</v>
      </c>
      <c r="H5" s="40" t="s">
        <v>48</v>
      </c>
      <c r="I5" s="18" t="s">
        <v>120</v>
      </c>
      <c r="J5" s="39" t="s">
        <v>42</v>
      </c>
      <c r="K5" s="41">
        <v>3</v>
      </c>
      <c r="L5" s="42">
        <f t="shared" si="0"/>
        <v>15</v>
      </c>
      <c r="M5" s="42">
        <f t="shared" si="1"/>
        <v>60</v>
      </c>
      <c r="N5" s="42">
        <f t="shared" si="2"/>
        <v>300</v>
      </c>
      <c r="O5" s="42">
        <v>320</v>
      </c>
      <c r="P5" s="43" t="s">
        <v>43</v>
      </c>
      <c r="Q5" s="44">
        <v>2.8299999999999999E-2</v>
      </c>
      <c r="R5" s="44">
        <f t="shared" si="3"/>
        <v>8.4900000000000003E-2</v>
      </c>
      <c r="S5" s="44">
        <v>2.8299999999999999E-2</v>
      </c>
      <c r="T5" s="44">
        <f t="shared" si="4"/>
        <v>0.42449999999999999</v>
      </c>
      <c r="U5" s="44">
        <v>2.8299999999999999E-2</v>
      </c>
      <c r="V5" s="44">
        <f t="shared" si="5"/>
        <v>1.698</v>
      </c>
      <c r="W5" s="44">
        <f t="shared" si="6"/>
        <v>6.6879999999999997</v>
      </c>
      <c r="X5" s="44">
        <v>2.0899999999999998E-2</v>
      </c>
      <c r="Y5" s="44">
        <f t="shared" si="7"/>
        <v>6.27</v>
      </c>
      <c r="Z5" s="45"/>
      <c r="AA5" s="5"/>
    </row>
    <row r="6" spans="1:27" ht="16.5" thickBot="1">
      <c r="A6" s="80">
        <v>4</v>
      </c>
      <c r="B6" s="1" t="s">
        <v>49</v>
      </c>
      <c r="C6" s="21" t="s">
        <v>50</v>
      </c>
      <c r="D6" s="22" t="s">
        <v>51</v>
      </c>
      <c r="E6" s="25" t="s">
        <v>52</v>
      </c>
      <c r="F6" s="24" t="s">
        <v>53</v>
      </c>
      <c r="G6" s="24" t="s">
        <v>54</v>
      </c>
      <c r="H6" s="16" t="s">
        <v>120</v>
      </c>
      <c r="I6" s="16" t="s">
        <v>120</v>
      </c>
      <c r="J6" s="24" t="s">
        <v>42</v>
      </c>
      <c r="K6" s="23">
        <v>2</v>
      </c>
      <c r="L6" s="25">
        <f t="shared" si="0"/>
        <v>10</v>
      </c>
      <c r="M6" s="25">
        <f t="shared" si="1"/>
        <v>40</v>
      </c>
      <c r="N6" s="25">
        <f t="shared" si="2"/>
        <v>200</v>
      </c>
      <c r="O6" s="25">
        <v>220</v>
      </c>
      <c r="P6" s="46" t="s">
        <v>55</v>
      </c>
      <c r="Q6" s="26">
        <v>2.96</v>
      </c>
      <c r="R6" s="26">
        <f t="shared" si="3"/>
        <v>5.92</v>
      </c>
      <c r="S6" s="26">
        <v>2.96</v>
      </c>
      <c r="T6" s="26">
        <f t="shared" si="4"/>
        <v>29.6</v>
      </c>
      <c r="U6" s="26">
        <v>2.96</v>
      </c>
      <c r="V6" s="26">
        <f t="shared" si="5"/>
        <v>118.4</v>
      </c>
      <c r="W6" s="26">
        <f t="shared" si="6"/>
        <v>651.20000000000005</v>
      </c>
      <c r="X6" s="26">
        <v>2.96</v>
      </c>
      <c r="Y6" s="26">
        <f t="shared" si="7"/>
        <v>592</v>
      </c>
      <c r="Z6" s="27"/>
      <c r="AA6" s="5"/>
    </row>
    <row r="7" spans="1:27" ht="16.5" thickBot="1">
      <c r="A7" s="80">
        <v>5</v>
      </c>
      <c r="B7" s="79" t="s">
        <v>56</v>
      </c>
      <c r="C7" s="82" t="s">
        <v>57</v>
      </c>
      <c r="D7" s="83" t="s">
        <v>58</v>
      </c>
      <c r="E7" s="85" t="s">
        <v>59</v>
      </c>
      <c r="F7" s="85" t="s">
        <v>59</v>
      </c>
      <c r="G7" s="85" t="s">
        <v>60</v>
      </c>
      <c r="H7" s="90" t="s">
        <v>61</v>
      </c>
      <c r="I7" s="77" t="s">
        <v>120</v>
      </c>
      <c r="J7" s="85" t="s">
        <v>42</v>
      </c>
      <c r="K7" s="84">
        <v>2</v>
      </c>
      <c r="L7" s="86">
        <f t="shared" si="0"/>
        <v>10</v>
      </c>
      <c r="M7" s="86">
        <f t="shared" si="1"/>
        <v>40</v>
      </c>
      <c r="N7" s="86">
        <f t="shared" si="2"/>
        <v>200</v>
      </c>
      <c r="O7" s="86">
        <v>210</v>
      </c>
      <c r="P7" s="91" t="s">
        <v>43</v>
      </c>
      <c r="Q7" s="88" t="s">
        <v>62</v>
      </c>
      <c r="R7" s="88">
        <v>0.82</v>
      </c>
      <c r="S7" s="88">
        <v>0.31740000000000002</v>
      </c>
      <c r="T7" s="88">
        <f t="shared" si="4"/>
        <v>3.1740000000000004</v>
      </c>
      <c r="U7" s="88">
        <v>0.30120000000000002</v>
      </c>
      <c r="V7" s="88">
        <f t="shared" si="5"/>
        <v>12.048000000000002</v>
      </c>
      <c r="W7" s="88">
        <f t="shared" si="6"/>
        <v>59.472000000000001</v>
      </c>
      <c r="X7" s="88">
        <v>0.28320000000000001</v>
      </c>
      <c r="Y7" s="88">
        <f t="shared" si="7"/>
        <v>56.64</v>
      </c>
      <c r="Z7" s="89"/>
      <c r="AA7" s="5"/>
    </row>
    <row r="8" spans="1:27" ht="16.5" thickBot="1">
      <c r="A8" s="80">
        <v>6</v>
      </c>
      <c r="B8" s="12" t="s">
        <v>63</v>
      </c>
      <c r="C8" s="28" t="s">
        <v>64</v>
      </c>
      <c r="D8" s="29" t="s">
        <v>65</v>
      </c>
      <c r="E8" s="30" t="s">
        <v>66</v>
      </c>
      <c r="F8" s="30" t="s">
        <v>67</v>
      </c>
      <c r="G8" s="30" t="s">
        <v>68</v>
      </c>
      <c r="H8" s="31" t="s">
        <v>69</v>
      </c>
      <c r="I8" s="17" t="s">
        <v>120</v>
      </c>
      <c r="J8" s="30" t="s">
        <v>70</v>
      </c>
      <c r="K8" s="32">
        <v>2</v>
      </c>
      <c r="L8" s="33">
        <f t="shared" si="0"/>
        <v>10</v>
      </c>
      <c r="M8" s="33">
        <f t="shared" si="1"/>
        <v>40</v>
      </c>
      <c r="N8" s="33">
        <f t="shared" si="2"/>
        <v>200</v>
      </c>
      <c r="O8" s="33">
        <v>250</v>
      </c>
      <c r="P8" s="47" t="s">
        <v>43</v>
      </c>
      <c r="Q8" s="35">
        <v>1.18E-2</v>
      </c>
      <c r="R8" s="35">
        <f t="shared" si="3"/>
        <v>2.3599999999999999E-2</v>
      </c>
      <c r="S8" s="35">
        <v>1.18E-2</v>
      </c>
      <c r="T8" s="35">
        <f t="shared" si="4"/>
        <v>0.11799999999999999</v>
      </c>
      <c r="U8" s="35">
        <v>1.18E-2</v>
      </c>
      <c r="V8" s="35">
        <f t="shared" si="5"/>
        <v>0.47199999999999998</v>
      </c>
      <c r="W8" s="35">
        <f t="shared" si="6"/>
        <v>2.9499999999999997</v>
      </c>
      <c r="X8" s="35">
        <v>1.18E-2</v>
      </c>
      <c r="Y8" s="35">
        <f t="shared" si="7"/>
        <v>2.36</v>
      </c>
      <c r="Z8" s="36"/>
      <c r="AA8" s="5"/>
    </row>
    <row r="9" spans="1:27" ht="16.5" thickBot="1">
      <c r="A9" s="98">
        <v>7</v>
      </c>
      <c r="B9" s="14"/>
      <c r="C9" s="48" t="s">
        <v>71</v>
      </c>
      <c r="D9" s="49" t="s">
        <v>72</v>
      </c>
      <c r="E9" s="50" t="s">
        <v>73</v>
      </c>
      <c r="F9" s="50" t="s">
        <v>74</v>
      </c>
      <c r="G9" s="50" t="s">
        <v>75</v>
      </c>
      <c r="H9" s="51" t="s">
        <v>76</v>
      </c>
      <c r="I9" s="19" t="s">
        <v>120</v>
      </c>
      <c r="J9" s="50" t="s">
        <v>77</v>
      </c>
      <c r="K9" s="52">
        <v>6</v>
      </c>
      <c r="L9" s="53">
        <f t="shared" si="0"/>
        <v>30</v>
      </c>
      <c r="M9" s="53">
        <f t="shared" si="1"/>
        <v>120</v>
      </c>
      <c r="N9" s="53">
        <f t="shared" si="2"/>
        <v>600</v>
      </c>
      <c r="O9" s="53">
        <v>700</v>
      </c>
      <c r="P9" s="54" t="s">
        <v>43</v>
      </c>
      <c r="Q9" s="55">
        <v>2.3999999999999998E-3</v>
      </c>
      <c r="R9" s="55">
        <f t="shared" si="3"/>
        <v>1.44E-2</v>
      </c>
      <c r="S9" s="55">
        <v>2.3999999999999998E-3</v>
      </c>
      <c r="T9" s="55">
        <f t="shared" si="4"/>
        <v>7.1999999999999995E-2</v>
      </c>
      <c r="U9" s="55">
        <v>2.3999999999999998E-3</v>
      </c>
      <c r="V9" s="55">
        <f t="shared" si="5"/>
        <v>0.28799999999999998</v>
      </c>
      <c r="W9" s="55">
        <f t="shared" si="6"/>
        <v>1.68</v>
      </c>
      <c r="X9" s="55">
        <v>2.3999999999999998E-3</v>
      </c>
      <c r="Y9" s="55">
        <f t="shared" si="7"/>
        <v>1.44</v>
      </c>
      <c r="Z9" s="56"/>
      <c r="AA9" s="5"/>
    </row>
    <row r="10" spans="1:27" ht="16.5" thickBot="1">
      <c r="A10" s="80">
        <v>8</v>
      </c>
      <c r="B10" s="14"/>
      <c r="C10" s="48" t="s">
        <v>78</v>
      </c>
      <c r="D10" s="49" t="s">
        <v>79</v>
      </c>
      <c r="E10" s="50" t="s">
        <v>80</v>
      </c>
      <c r="F10" s="15" t="s">
        <v>81</v>
      </c>
      <c r="G10" s="50" t="s">
        <v>82</v>
      </c>
      <c r="H10" s="57" t="s">
        <v>83</v>
      </c>
      <c r="I10" s="57" t="s">
        <v>84</v>
      </c>
      <c r="J10" s="50" t="s">
        <v>85</v>
      </c>
      <c r="K10" s="52">
        <v>6</v>
      </c>
      <c r="L10" s="53">
        <f t="shared" si="0"/>
        <v>30</v>
      </c>
      <c r="M10" s="53">
        <f t="shared" si="1"/>
        <v>120</v>
      </c>
      <c r="N10" s="53">
        <f t="shared" si="2"/>
        <v>600</v>
      </c>
      <c r="O10" s="53">
        <v>610</v>
      </c>
      <c r="P10" s="58" t="s">
        <v>43</v>
      </c>
      <c r="Q10" s="55">
        <v>0.17699999999999999</v>
      </c>
      <c r="R10" s="55">
        <f t="shared" si="3"/>
        <v>1.0619999999999998</v>
      </c>
      <c r="S10" s="55">
        <v>0.1217</v>
      </c>
      <c r="T10" s="55">
        <f t="shared" si="4"/>
        <v>3.6510000000000002</v>
      </c>
      <c r="U10" s="55">
        <v>0.1132</v>
      </c>
      <c r="V10" s="55">
        <f t="shared" si="5"/>
        <v>13.584</v>
      </c>
      <c r="W10" s="55">
        <f t="shared" si="6"/>
        <v>66.733999999999995</v>
      </c>
      <c r="X10" s="55">
        <v>0.1094</v>
      </c>
      <c r="Y10" s="55">
        <f t="shared" si="7"/>
        <v>65.64</v>
      </c>
      <c r="Z10" s="59" t="s">
        <v>86</v>
      </c>
      <c r="AA10" s="5"/>
    </row>
    <row r="11" spans="1:27" ht="16.5" thickBot="1">
      <c r="A11" s="80">
        <v>9</v>
      </c>
      <c r="B11" s="13"/>
      <c r="C11" s="60" t="s">
        <v>87</v>
      </c>
      <c r="D11" s="38" t="s">
        <v>88</v>
      </c>
      <c r="E11" s="39" t="s">
        <v>66</v>
      </c>
      <c r="F11" s="76" t="s">
        <v>89</v>
      </c>
      <c r="G11" s="39" t="s">
        <v>82</v>
      </c>
      <c r="H11" s="40" t="s">
        <v>90</v>
      </c>
      <c r="I11" s="40" t="s">
        <v>91</v>
      </c>
      <c r="J11" s="39" t="s">
        <v>92</v>
      </c>
      <c r="K11" s="41">
        <v>2</v>
      </c>
      <c r="L11" s="42">
        <f t="shared" si="0"/>
        <v>10</v>
      </c>
      <c r="M11" s="42">
        <f t="shared" si="1"/>
        <v>40</v>
      </c>
      <c r="N11" s="42">
        <f t="shared" si="2"/>
        <v>200</v>
      </c>
      <c r="O11" s="42">
        <v>250</v>
      </c>
      <c r="P11" s="61" t="s">
        <v>43</v>
      </c>
      <c r="Q11" s="44">
        <v>1.0699999999999999E-2</v>
      </c>
      <c r="R11" s="44">
        <f t="shared" si="3"/>
        <v>2.1399999999999999E-2</v>
      </c>
      <c r="S11" s="44">
        <v>1.0699999999999999E-2</v>
      </c>
      <c r="T11" s="44">
        <f t="shared" si="4"/>
        <v>0.107</v>
      </c>
      <c r="U11" s="44">
        <v>1.0699999999999999E-2</v>
      </c>
      <c r="V11" s="44">
        <f t="shared" si="5"/>
        <v>0.42799999999999999</v>
      </c>
      <c r="W11" s="44">
        <f t="shared" si="6"/>
        <v>2.6749999999999998</v>
      </c>
      <c r="X11" s="44">
        <v>1.0699999999999999E-2</v>
      </c>
      <c r="Y11" s="44">
        <f t="shared" si="7"/>
        <v>2.1399999999999997</v>
      </c>
      <c r="Z11" s="45"/>
      <c r="AA11" s="5"/>
    </row>
    <row r="12" spans="1:27" ht="16.5" thickBot="1">
      <c r="A12" s="80">
        <v>10</v>
      </c>
      <c r="B12" s="79" t="s">
        <v>93</v>
      </c>
      <c r="C12" s="92" t="s">
        <v>94</v>
      </c>
      <c r="D12" s="83" t="s">
        <v>95</v>
      </c>
      <c r="E12" s="84" t="s">
        <v>30</v>
      </c>
      <c r="F12" s="85" t="s">
        <v>96</v>
      </c>
      <c r="G12" s="85" t="s">
        <v>60</v>
      </c>
      <c r="H12" s="77" t="s">
        <v>120</v>
      </c>
      <c r="I12" s="77" t="s">
        <v>120</v>
      </c>
      <c r="J12" s="85" t="s">
        <v>42</v>
      </c>
      <c r="K12" s="84">
        <v>2</v>
      </c>
      <c r="L12" s="86">
        <f t="shared" si="0"/>
        <v>10</v>
      </c>
      <c r="M12" s="86">
        <f t="shared" si="1"/>
        <v>40</v>
      </c>
      <c r="N12" s="86">
        <f t="shared" si="2"/>
        <v>200</v>
      </c>
      <c r="O12" s="86">
        <v>220</v>
      </c>
      <c r="P12" s="87" t="s">
        <v>97</v>
      </c>
      <c r="Q12" s="88">
        <v>0.2</v>
      </c>
      <c r="R12" s="88">
        <f t="shared" si="3"/>
        <v>0.4</v>
      </c>
      <c r="S12" s="88">
        <v>0.2</v>
      </c>
      <c r="T12" s="88">
        <f t="shared" si="4"/>
        <v>2</v>
      </c>
      <c r="U12" s="88">
        <v>0.2</v>
      </c>
      <c r="V12" s="88">
        <f t="shared" si="5"/>
        <v>8</v>
      </c>
      <c r="W12" s="88">
        <f t="shared" si="6"/>
        <v>44</v>
      </c>
      <c r="X12" s="88">
        <v>0.2</v>
      </c>
      <c r="Y12" s="88">
        <f t="shared" si="7"/>
        <v>40</v>
      </c>
      <c r="Z12" s="89"/>
      <c r="AA12" s="5"/>
    </row>
    <row r="13" spans="1:27" ht="16.5" thickBot="1">
      <c r="A13" s="80">
        <v>11</v>
      </c>
      <c r="B13" s="81" t="s">
        <v>123</v>
      </c>
      <c r="C13" s="28" t="s">
        <v>98</v>
      </c>
      <c r="D13" s="30" t="s">
        <v>99</v>
      </c>
      <c r="E13" s="32" t="s">
        <v>30</v>
      </c>
      <c r="F13" s="30" t="s">
        <v>100</v>
      </c>
      <c r="G13" s="30" t="s">
        <v>101</v>
      </c>
      <c r="H13" s="62" t="s">
        <v>102</v>
      </c>
      <c r="I13" s="17" t="s">
        <v>120</v>
      </c>
      <c r="J13" s="30" t="s">
        <v>42</v>
      </c>
      <c r="K13" s="32">
        <v>1</v>
      </c>
      <c r="L13" s="33">
        <f t="shared" si="0"/>
        <v>5</v>
      </c>
      <c r="M13" s="33">
        <f t="shared" si="1"/>
        <v>20</v>
      </c>
      <c r="N13" s="33">
        <f t="shared" si="2"/>
        <v>100</v>
      </c>
      <c r="O13" s="33">
        <v>120</v>
      </c>
      <c r="P13" s="47" t="s">
        <v>43</v>
      </c>
      <c r="Q13" s="35">
        <v>9.5200000000000007E-2</v>
      </c>
      <c r="R13" s="35">
        <f t="shared" si="3"/>
        <v>9.5200000000000007E-2</v>
      </c>
      <c r="S13" s="35">
        <v>9.5200000000000007E-2</v>
      </c>
      <c r="T13" s="35">
        <f t="shared" si="4"/>
        <v>0.47600000000000003</v>
      </c>
      <c r="U13" s="35">
        <v>9.5200000000000007E-2</v>
      </c>
      <c r="V13" s="35">
        <f t="shared" si="5"/>
        <v>1.9040000000000001</v>
      </c>
      <c r="W13" s="35">
        <f t="shared" si="6"/>
        <v>8.4</v>
      </c>
      <c r="X13" s="35">
        <v>7.0000000000000007E-2</v>
      </c>
      <c r="Y13" s="35">
        <f t="shared" si="7"/>
        <v>7.0000000000000009</v>
      </c>
      <c r="Z13" s="36"/>
      <c r="AA13" s="5"/>
    </row>
    <row r="14" spans="1:27" ht="16.5" thickBot="1">
      <c r="A14" s="80">
        <v>12</v>
      </c>
      <c r="B14" s="14"/>
      <c r="C14" s="93" t="s">
        <v>103</v>
      </c>
      <c r="D14" s="50" t="s">
        <v>104</v>
      </c>
      <c r="E14" s="52" t="s">
        <v>30</v>
      </c>
      <c r="F14" s="50" t="s">
        <v>105</v>
      </c>
      <c r="G14" s="50" t="s">
        <v>106</v>
      </c>
      <c r="H14" s="19" t="s">
        <v>120</v>
      </c>
      <c r="I14" s="19" t="s">
        <v>120</v>
      </c>
      <c r="J14" s="50" t="s">
        <v>42</v>
      </c>
      <c r="K14" s="52">
        <v>1</v>
      </c>
      <c r="L14" s="53">
        <f t="shared" si="0"/>
        <v>5</v>
      </c>
      <c r="M14" s="53">
        <f t="shared" si="1"/>
        <v>20</v>
      </c>
      <c r="N14" s="53">
        <f t="shared" si="2"/>
        <v>100</v>
      </c>
      <c r="O14" s="53">
        <v>120</v>
      </c>
      <c r="P14" s="58" t="s">
        <v>121</v>
      </c>
      <c r="Q14" s="55">
        <v>0.90700000000000003</v>
      </c>
      <c r="R14" s="55">
        <f t="shared" si="3"/>
        <v>0.90700000000000003</v>
      </c>
      <c r="S14" s="55">
        <v>0.90700000000000003</v>
      </c>
      <c r="T14" s="55">
        <f t="shared" si="4"/>
        <v>4.5350000000000001</v>
      </c>
      <c r="U14" s="55">
        <v>0.90700000000000003</v>
      </c>
      <c r="V14" s="55">
        <f t="shared" si="5"/>
        <v>18.14</v>
      </c>
      <c r="W14" s="55">
        <f t="shared" si="6"/>
        <v>108.84</v>
      </c>
      <c r="X14" s="55">
        <v>0.90700000000000003</v>
      </c>
      <c r="Y14" s="55">
        <f t="shared" si="7"/>
        <v>90.7</v>
      </c>
      <c r="Z14" s="59" t="s">
        <v>122</v>
      </c>
      <c r="AA14" s="5"/>
    </row>
    <row r="15" spans="1:27" ht="16.5" thickBot="1">
      <c r="A15" s="80">
        <v>13</v>
      </c>
      <c r="B15" s="14"/>
      <c r="C15" s="63" t="s">
        <v>107</v>
      </c>
      <c r="D15" s="20" t="s">
        <v>108</v>
      </c>
      <c r="E15" s="64" t="s">
        <v>30</v>
      </c>
      <c r="F15" s="20" t="s">
        <v>109</v>
      </c>
      <c r="G15" s="64"/>
      <c r="H15" s="64"/>
      <c r="I15" s="20" t="s">
        <v>120</v>
      </c>
      <c r="J15" s="20" t="s">
        <v>42</v>
      </c>
      <c r="K15" s="64">
        <v>1</v>
      </c>
      <c r="L15" s="64">
        <f t="shared" si="0"/>
        <v>5</v>
      </c>
      <c r="M15" s="64">
        <f t="shared" si="1"/>
        <v>20</v>
      </c>
      <c r="N15" s="64">
        <f t="shared" si="2"/>
        <v>100</v>
      </c>
      <c r="O15" s="64"/>
      <c r="P15" s="64"/>
      <c r="Q15" s="65"/>
      <c r="R15" s="65">
        <f t="shared" si="3"/>
        <v>0</v>
      </c>
      <c r="S15" s="65"/>
      <c r="T15" s="65">
        <f t="shared" si="4"/>
        <v>0</v>
      </c>
      <c r="U15" s="65"/>
      <c r="V15" s="65">
        <f t="shared" si="5"/>
        <v>0</v>
      </c>
      <c r="W15" s="65">
        <f t="shared" ref="W4:W15" si="8">Q15*O15</f>
        <v>0</v>
      </c>
      <c r="X15" s="65"/>
      <c r="Y15" s="65">
        <f t="shared" si="7"/>
        <v>0</v>
      </c>
      <c r="Z15" s="59" t="s">
        <v>110</v>
      </c>
      <c r="AA15" s="5"/>
    </row>
    <row r="16" spans="1:27" ht="16.5" thickBot="1">
      <c r="A16" s="80">
        <v>14</v>
      </c>
      <c r="B16" s="14"/>
      <c r="C16" s="66" t="s">
        <v>111</v>
      </c>
      <c r="D16" s="94" t="s">
        <v>112</v>
      </c>
      <c r="E16" s="95" t="s">
        <v>30</v>
      </c>
      <c r="F16" s="68" t="s">
        <v>113</v>
      </c>
      <c r="G16" s="68" t="s">
        <v>113</v>
      </c>
      <c r="H16" s="68" t="s">
        <v>113</v>
      </c>
      <c r="I16" s="68" t="s">
        <v>113</v>
      </c>
      <c r="J16" s="67" t="s">
        <v>42</v>
      </c>
      <c r="K16" s="94">
        <v>2</v>
      </c>
      <c r="L16" s="94">
        <v>10</v>
      </c>
      <c r="M16" s="94">
        <v>40</v>
      </c>
      <c r="N16" s="94">
        <v>200</v>
      </c>
      <c r="O16" s="68" t="s">
        <v>113</v>
      </c>
      <c r="P16" s="68" t="s">
        <v>113</v>
      </c>
      <c r="Q16" s="69" t="s">
        <v>113</v>
      </c>
      <c r="R16" s="69" t="s">
        <v>113</v>
      </c>
      <c r="S16" s="69" t="s">
        <v>113</v>
      </c>
      <c r="T16" s="69" t="s">
        <v>113</v>
      </c>
      <c r="U16" s="69" t="s">
        <v>113</v>
      </c>
      <c r="V16" s="69" t="s">
        <v>113</v>
      </c>
      <c r="W16" s="69" t="s">
        <v>113</v>
      </c>
      <c r="X16" s="69" t="s">
        <v>113</v>
      </c>
      <c r="Y16" s="69" t="s">
        <v>113</v>
      </c>
      <c r="Z16" s="70" t="s">
        <v>114</v>
      </c>
      <c r="AA16" s="5"/>
    </row>
    <row r="17" spans="1:26" ht="16.5" thickBot="1">
      <c r="A17" s="80">
        <v>15</v>
      </c>
      <c r="B17" s="13"/>
      <c r="C17" s="71" t="s">
        <v>115</v>
      </c>
      <c r="D17" s="96" t="s">
        <v>116</v>
      </c>
      <c r="E17" s="97" t="s">
        <v>30</v>
      </c>
      <c r="F17" s="73" t="s">
        <v>113</v>
      </c>
      <c r="G17" s="73" t="s">
        <v>113</v>
      </c>
      <c r="H17" s="73" t="s">
        <v>113</v>
      </c>
      <c r="I17" s="73" t="s">
        <v>113</v>
      </c>
      <c r="J17" s="72" t="s">
        <v>42</v>
      </c>
      <c r="K17" s="96">
        <v>7</v>
      </c>
      <c r="L17" s="96">
        <v>35</v>
      </c>
      <c r="M17" s="96">
        <v>140</v>
      </c>
      <c r="N17" s="96">
        <v>700</v>
      </c>
      <c r="O17" s="73" t="s">
        <v>113</v>
      </c>
      <c r="P17" s="73" t="s">
        <v>113</v>
      </c>
      <c r="Q17" s="74" t="s">
        <v>113</v>
      </c>
      <c r="R17" s="74" t="s">
        <v>113</v>
      </c>
      <c r="S17" s="74" t="s">
        <v>113</v>
      </c>
      <c r="T17" s="74" t="s">
        <v>113</v>
      </c>
      <c r="U17" s="74" t="s">
        <v>113</v>
      </c>
      <c r="V17" s="74" t="s">
        <v>113</v>
      </c>
      <c r="W17" s="74" t="s">
        <v>113</v>
      </c>
      <c r="X17" s="74" t="s">
        <v>113</v>
      </c>
      <c r="Y17" s="74" t="s">
        <v>113</v>
      </c>
      <c r="Z17" s="75" t="s">
        <v>114</v>
      </c>
    </row>
    <row r="18" spans="1:26" ht="21.75" thickBot="1">
      <c r="D18" s="2"/>
      <c r="K18" s="10" t="s">
        <v>117</v>
      </c>
      <c r="L18" s="10"/>
      <c r="M18" s="10"/>
      <c r="N18" s="10"/>
      <c r="O18" s="10"/>
      <c r="P18" s="10"/>
      <c r="Q18" s="10"/>
      <c r="S18" s="3"/>
      <c r="T18" s="4">
        <f>SUM(T3:T15)</f>
        <v>44.45750000000001</v>
      </c>
      <c r="U18" s="3"/>
      <c r="V18" s="4">
        <f>SUM(V3:V15)</f>
        <v>176.16200000000003</v>
      </c>
      <c r="W18" s="4">
        <f>SUM(W3:W15)</f>
        <v>960.13900000000001</v>
      </c>
      <c r="X18" s="3"/>
      <c r="Y18" s="4">
        <f>SUM(Y3:Y15)</f>
        <v>870.19</v>
      </c>
    </row>
    <row r="19" spans="1:26" ht="21">
      <c r="K19" s="11" t="s">
        <v>118</v>
      </c>
      <c r="L19" s="11"/>
      <c r="M19" s="11"/>
      <c r="N19" s="11"/>
      <c r="O19" s="11"/>
      <c r="P19" s="11"/>
      <c r="Q19" s="11"/>
      <c r="R19" s="4">
        <f>SUM(R3:R15)</f>
        <v>9.4085000000000001</v>
      </c>
      <c r="S19" s="3"/>
      <c r="T19" s="4">
        <f>T18/5</f>
        <v>8.8915000000000024</v>
      </c>
      <c r="U19" s="3"/>
      <c r="V19" s="4">
        <f>V18/20</f>
        <v>8.8081000000000014</v>
      </c>
      <c r="W19" s="4">
        <f>W18/100</f>
        <v>9.6013900000000003</v>
      </c>
      <c r="X19" s="3"/>
      <c r="Y19" s="4">
        <f>Y18/100</f>
        <v>8.7019000000000002</v>
      </c>
      <c r="Z19" s="3"/>
    </row>
  </sheetData>
  <mergeCells count="6">
    <mergeCell ref="A1:Z1"/>
    <mergeCell ref="K18:Q18"/>
    <mergeCell ref="K19:Q19"/>
    <mergeCell ref="B4:B5"/>
    <mergeCell ref="B8:B11"/>
    <mergeCell ref="B13:B17"/>
  </mergeCells>
  <conditionalFormatting sqref="T18:Z18">
    <cfRule type="dataBar" priority="7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{5D710F97-1BF7-4784-894E-1861056F6628}</x14:id>
        </ext>
      </extLst>
    </cfRule>
  </conditionalFormatting>
  <conditionalFormatting sqref="R19:Z19">
    <cfRule type="dataBar" priority="8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{E0E5C7AB-AE3E-4DAC-94D8-975E90381F46}</x14:id>
        </ext>
      </extLst>
    </cfRule>
  </conditionalFormatting>
  <conditionalFormatting sqref="R3:R15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{17634760-F266-4682-89C5-EB5F05E41D77}</x14:id>
        </ext>
      </extLst>
    </cfRule>
  </conditionalFormatting>
  <conditionalFormatting sqref="T3:T15">
    <cfRule type="dataBar" priority="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{E17ECB40-D5E3-4565-A969-683333B81809}</x14:id>
        </ext>
      </extLst>
    </cfRule>
  </conditionalFormatting>
  <conditionalFormatting sqref="V3:V15">
    <cfRule type="dataBar" priority="3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{55660422-6C30-4A05-A6C1-DCC473A0984E}</x14:id>
        </ext>
      </extLst>
    </cfRule>
  </conditionalFormatting>
  <conditionalFormatting sqref="W3:W15"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{0CCB8173-A81F-4795-AF77-04BEEF2E5035}</x14:id>
        </ext>
      </extLst>
    </cfRule>
  </conditionalFormatting>
  <conditionalFormatting sqref="Y3:Y15">
    <cfRule type="dataBar" priority="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{962429E8-F0BD-4E9F-BC8E-39CAD2B910FC}</x14:id>
        </ext>
      </extLst>
    </cfRule>
  </conditionalFormatting>
  <conditionalFormatting sqref="K3:N17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P5" r:id="rId1"/>
    <hyperlink ref="P7" r:id="rId2"/>
    <hyperlink ref="P8" r:id="rId3"/>
    <hyperlink ref="P9" r:id="rId4"/>
    <hyperlink ref="P13" r:id="rId5"/>
    <hyperlink ref="P4" r:id="rId6"/>
    <hyperlink ref="P6" r:id="rId7"/>
    <hyperlink ref="P12" r:id="rId8"/>
    <hyperlink ref="P10" r:id="rId9"/>
    <hyperlink ref="P11" r:id="rId10"/>
    <hyperlink ref="P3" r:id="rId11"/>
    <hyperlink ref="P14" r:id="rId12"/>
  </hyperlinks>
  <pageMargins left="0.75" right="0.75" top="1" bottom="1" header="0.5" footer="0.5"/>
  <pageSetup orientation="portrait" r:id="rId1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D710F97-1BF7-4784-894E-1861056F6628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T18:Z18</xm:sqref>
        </x14:conditionalFormatting>
        <x14:conditionalFormatting xmlns:xm="http://schemas.microsoft.com/office/excel/2006/main">
          <x14:cfRule type="dataBar" id="{E0E5C7AB-AE3E-4DAC-94D8-975E90381F46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R19:Z19</xm:sqref>
        </x14:conditionalFormatting>
        <x14:conditionalFormatting xmlns:xm="http://schemas.microsoft.com/office/excel/2006/main">
          <x14:cfRule type="dataBar" id="{17634760-F266-4682-89C5-EB5F05E41D7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R3:R15</xm:sqref>
        </x14:conditionalFormatting>
        <x14:conditionalFormatting xmlns:xm="http://schemas.microsoft.com/office/excel/2006/main">
          <x14:cfRule type="dataBar" id="{E17ECB40-D5E3-4565-A969-683333B8180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T3:T15</xm:sqref>
        </x14:conditionalFormatting>
        <x14:conditionalFormatting xmlns:xm="http://schemas.microsoft.com/office/excel/2006/main">
          <x14:cfRule type="dataBar" id="{55660422-6C30-4A05-A6C1-DCC473A0984E}">
            <x14:dataBar minLength="0" maxLength="100" border="1" negativeBarBorderColorSameAsPositive="0">
              <x14:cfvo type="autoMin"/>
              <x14:cfvo type="autoMax"/>
              <x14:borderColor rgb="FFFFB628"/>
              <x14:negativeFillColor rgb="FFFF0000"/>
              <x14:negativeBorderColor rgb="FFFF0000"/>
              <x14:axisColor rgb="FF000000"/>
            </x14:dataBar>
          </x14:cfRule>
          <xm:sqref>V3:V15</xm:sqref>
        </x14:conditionalFormatting>
        <x14:conditionalFormatting xmlns:xm="http://schemas.microsoft.com/office/excel/2006/main">
          <x14:cfRule type="dataBar" id="{0CCB8173-A81F-4795-AF77-04BEEF2E5035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W3:W15</xm:sqref>
        </x14:conditionalFormatting>
        <x14:conditionalFormatting xmlns:xm="http://schemas.microsoft.com/office/excel/2006/main">
          <x14:cfRule type="dataBar" id="{962429E8-F0BD-4E9F-BC8E-39CAD2B910FC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Y3:Y15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2021-10-30T05:11:00Z</dcterms:created>
  <dcterms:modified xsi:type="dcterms:W3CDTF">2021-10-30T12:46:25Z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2AEC7BF1D4A54C90BD760798A8725765</vt:lpwstr>
  </property>
  <property fmtid="{D5CDD505-2E9C-101B-9397-08002B2CF9AE}" pid="3" name="KSOProductBuildVer">
    <vt:lpwstr>1033-11.2.0.10351</vt:lpwstr>
  </property>
</Properties>
</file>