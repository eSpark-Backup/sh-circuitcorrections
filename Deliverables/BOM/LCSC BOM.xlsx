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<sst xmlns="http://schemas.openxmlformats.org/spreadsheetml/2006/main" count="178" uniqueCount="120">
  <si>
    <t>Bill of Material (BOM) for Stadium_Board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</si>
  <si>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</si>
  <si>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</si>
  <si>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</si>
  <si>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</si>
  <si>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</si>
  <si>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</si>
  <si>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</si>
  <si>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</si>
  <si>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</si>
  <si>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</si>
  <si>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</si>
  <si>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Quantity (5 boards)</t>
  </si>
  <si>
    <t>Quantity (20 boards)</t>
  </si>
  <si>
    <t>Quantity (100 boards)</t>
  </si>
  <si>
    <t>LCSC/MOQ</t>
  </si>
  <si>
    <t>LCSC Link</t>
  </si>
  <si>
    <t>Unit Cost(1)</t>
  </si>
  <si>
    <t>Total Cost(1)</t>
  </si>
  <si>
    <t>Unit Cost (5 Boards)</t>
  </si>
  <si>
    <t>Total Cost (5)</t>
  </si>
  <si>
    <t>Unit Cost (20 Boards)</t>
  </si>
  <si>
    <t>Total Cost (20)</t>
  </si>
  <si>
    <t>Total MOQ</t>
  </si>
  <si>
    <t>Unit Cost (100 Boards)</t>
  </si>
  <si>
    <t>Total Cost (100)</t>
  </si>
  <si>
    <t>Remarks</t>
  </si>
  <si>
    <t>Capacitor</t>
  </si>
  <si>
    <t>Aluminum Electrolytic Capacitors 25 Volts 33uF</t>
  </si>
  <si>
    <t>C1</t>
  </si>
  <si>
    <t>Custom</t>
  </si>
  <si>
    <t>VE-330M1ETR-0605</t>
  </si>
  <si>
    <t>Lelon</t>
  </si>
  <si>
    <t>33uF</t>
  </si>
  <si>
    <t>DGSER</t>
  </si>
  <si>
    <t>Diode</t>
  </si>
  <si>
    <t xml:space="preserve">1A 5μA 1kV 1kV 1.1V 1A SMA(DO-214AC) Diodes </t>
  </si>
  <si>
    <t>D1</t>
  </si>
  <si>
    <t>SMA</t>
  </si>
  <si>
    <t>M7</t>
  </si>
  <si>
    <t>Slkor</t>
  </si>
  <si>
    <t>C426571</t>
  </si>
  <si>
    <t>---------</t>
  </si>
  <si>
    <t>LCSC</t>
  </si>
  <si>
    <t xml:space="preserve">3A Single 5μA 50V 1.1V 3A 50V SMB(DO-214AA) Diodes </t>
  </si>
  <si>
    <t>D2, D3, D4</t>
  </si>
  <si>
    <t>S3AB</t>
  </si>
  <si>
    <t>Shandong</t>
  </si>
  <si>
    <t>C437627</t>
  </si>
  <si>
    <t>MOSFET</t>
  </si>
  <si>
    <t>MOSFET P-CH 40V 120A TO263-3</t>
  </si>
  <si>
    <t>Q1, Q2</t>
  </si>
  <si>
    <t>PG-TO263-3-2</t>
  </si>
  <si>
    <t>IPB120P04P4L03ATMA2</t>
  </si>
  <si>
    <t>Infineon</t>
  </si>
  <si>
    <t>IC-Chip</t>
  </si>
  <si>
    <t>Bridge</t>
  </si>
  <si>
    <t>BRIDGE RECT 1PHASE 600V 1A DF-S</t>
  </si>
  <si>
    <t>BR1, BR2</t>
  </si>
  <si>
    <t>DF06S</t>
  </si>
  <si>
    <t>ON Semiconductor / Fairchild</t>
  </si>
  <si>
    <t>C105154</t>
  </si>
  <si>
    <t> 0.4076</t>
  </si>
  <si>
    <t>Resistor</t>
  </si>
  <si>
    <t>RES 560 OHM 1% 1/2W 1210</t>
  </si>
  <si>
    <t>R1, R3</t>
  </si>
  <si>
    <t>RES 1210</t>
  </si>
  <si>
    <t>RC1210FR-07560RL</t>
  </si>
  <si>
    <t>Yageo</t>
  </si>
  <si>
    <t>C728387</t>
  </si>
  <si>
    <t>560R</t>
  </si>
  <si>
    <t>Thick Film Resistors 10kΩ 0805 Chip Resistor</t>
  </si>
  <si>
    <t>R2, R4, R5, R6, R10, R11</t>
  </si>
  <si>
    <t>RES 0805</t>
  </si>
  <si>
    <t>0805W8F1002T5E</t>
  </si>
  <si>
    <t>UNI-ROYAL</t>
  </si>
  <si>
    <t>C17414</t>
  </si>
  <si>
    <t>10K</t>
  </si>
  <si>
    <t>Thick Film Resistors 2Ω 2512 Chip Resistor</t>
  </si>
  <si>
    <t>R7, R12, R13, R14, R15, R16</t>
  </si>
  <si>
    <t>RES 2512</t>
  </si>
  <si>
    <t>CRH2512J2R00E04Z</t>
  </si>
  <si>
    <t>Ever Ohms Tech</t>
  </si>
  <si>
    <t>C91926</t>
  </si>
  <si>
    <t>HP122WF200KT4E</t>
  </si>
  <si>
    <t>2Ω</t>
  </si>
  <si>
    <t>tolerance is change</t>
  </si>
  <si>
    <t>Thick Film Resistors 2.4Ω 1210 Chip Resistor</t>
  </si>
  <si>
    <t>R8, R9</t>
  </si>
  <si>
    <t>CR1210J2R40P05S</t>
  </si>
  <si>
    <t>C474259</t>
  </si>
  <si>
    <t>1210W2J024JT5E</t>
  </si>
  <si>
    <t>2.4Ω</t>
  </si>
  <si>
    <t>IC</t>
  </si>
  <si>
    <t>OPTOISO 4.17KV TRANS W/BASE 6SMD</t>
  </si>
  <si>
    <t>U1, U2</t>
  </si>
  <si>
    <t>4N25SM</t>
  </si>
  <si>
    <t>Aliexpress</t>
  </si>
  <si>
    <t>Header</t>
  </si>
  <si>
    <t>500mA Jack DCPowerReceptacle 6.4mm 2.5mm 14.2*9.0mm AC/DC Power Connectors ROHS</t>
  </si>
  <si>
    <t>J1</t>
  </si>
  <si>
    <t>DC-005-25A</t>
  </si>
  <si>
    <t>Korean Hroparts Elec</t>
  </si>
  <si>
    <t>C136715</t>
  </si>
  <si>
    <t>CONN RCPT USB2.0 TYPEA 4POS R/A</t>
  </si>
  <si>
    <t>J2</t>
  </si>
  <si>
    <t>292303-1</t>
  </si>
  <si>
    <t>TE Connectivity</t>
  </si>
  <si>
    <t>16 Pin Right angle JST Conn 2 mm Pitch</t>
  </si>
  <si>
    <t>J6</t>
  </si>
  <si>
    <t>0220164-162121</t>
  </si>
  <si>
    <t>Quotation Required</t>
  </si>
  <si>
    <t>Solder Bridge ON</t>
  </si>
  <si>
    <t>J4,J5</t>
  </si>
  <si>
    <t>-</t>
  </si>
  <si>
    <t>DONOT MOUNT</t>
  </si>
  <si>
    <t>Test Point ON</t>
  </si>
  <si>
    <t>B,G,GND,R,V1,V2,W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</si>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</sst>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>
  <numFmts count="7">
    <numFmt numFmtId="176" formatCode="&quot;$&quot;#,##0.0000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8" formatCode="&quot;$&quot;#,##0.00_);[Red]\(&quot;$&quot;#,##0.00\)"/>
    <numFmt numFmtId="179" formatCode="_-[$$-409]* #,##0.00_ ;_-[$$-409]* \-#,##0.00\ ;_-[$$-409]* &quot;-&quot;??_ ;_-@_ "/>
  </numFmts>
  <fonts count="3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333333"/>
      <name val="Calibri"/>
      <charset val="134"/>
    </font>
    <font>
      <strike/>
      <sz val="10"/>
      <color rgb="FFFF0000"/>
      <name val="Calibri"/>
      <charset val="134"/>
    </font>
    <font>
      <strike/>
      <sz val="10"/>
      <color rgb="FFFF0000"/>
      <name val="Calibri"/>
      <charset val="134"/>
      <scheme val="minor"/>
    </font>
    <font>
      <strike/>
      <sz val="10"/>
      <color theme="1"/>
      <name val="Calibri"/>
      <charset val="134"/>
      <scheme val="minor"/>
    </font>
    <font>
      <sz val="11"/>
      <color rgb="FFFF0000"/>
      <name val="Calibri"/>
      <charset val="134"/>
    </font>
    <font>
      <u/>
      <sz val="10"/>
      <color rgb="FF0000FF"/>
      <name val="Calibri"/>
      <charset val="0"/>
    </font>
    <font>
      <u/>
      <sz val="10"/>
      <color rgb="FF800080"/>
      <name val="Calibri"/>
      <charset val="0"/>
    </font>
    <font>
      <sz val="10"/>
      <color rgb="FFFF0000"/>
      <name val="Calibri"/>
      <charset val="134"/>
    </font>
    <font>
      <b/>
      <sz val="16"/>
      <name val="Calibri"/>
      <charset val="134"/>
      <scheme val="minor"/>
    </font>
    <font>
      <b/>
      <strike/>
      <sz val="10"/>
      <color rgb="FFFF0000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30" applyNumberFormat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0" fillId="9" borderId="29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23" borderId="28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5" fillId="7" borderId="27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7" borderId="28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vertical="center"/>
    </xf>
    <xf numFmtId="0" fontId="9" fillId="0" borderId="8" xfId="7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7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" fillId="0" borderId="14" xfId="7" applyFont="1" applyBorder="1" applyAlignment="1">
      <alignment horizontal="center" vertical="center"/>
    </xf>
    <xf numFmtId="0" fontId="10" fillId="0" borderId="8" xfId="7" applyFont="1" applyBorder="1" applyAlignment="1">
      <alignment horizontal="center" vertical="center"/>
    </xf>
    <xf numFmtId="0" fontId="10" fillId="0" borderId="11" xfId="7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0" fillId="0" borderId="17" xfId="7" applyFont="1" applyBorder="1" applyAlignment="1">
      <alignment horizontal="center" vertical="center"/>
    </xf>
    <xf numFmtId="0" fontId="9" fillId="0" borderId="17" xfId="7" applyFont="1" applyBorder="1" applyAlignment="1">
      <alignment horizontal="center" vertical="center"/>
    </xf>
    <xf numFmtId="0" fontId="9" fillId="0" borderId="14" xfId="7" applyFont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wrapText="1"/>
    </xf>
    <xf numFmtId="0" fontId="12" fillId="6" borderId="0" xfId="0" applyFont="1" applyFill="1" applyAlignment="1">
      <alignment horizontal="center" wrapText="1"/>
    </xf>
    <xf numFmtId="0" fontId="1" fillId="2" borderId="20" xfId="0" applyFont="1" applyFill="1" applyBorder="1" applyAlignment="1">
      <alignment horizontal="center" vertical="center"/>
    </xf>
    <xf numFmtId="8" fontId="3" fillId="0" borderId="8" xfId="0" applyNumberFormat="1" applyFont="1" applyBorder="1" applyAlignment="1">
      <alignment horizontal="center" vertical="center"/>
    </xf>
    <xf numFmtId="8" fontId="3" fillId="0" borderId="11" xfId="0" applyNumberFormat="1" applyFont="1" applyBorder="1" applyAlignment="1">
      <alignment horizontal="center" vertical="center"/>
    </xf>
    <xf numFmtId="8" fontId="3" fillId="0" borderId="14" xfId="0" applyNumberFormat="1" applyFont="1" applyBorder="1" applyAlignment="1">
      <alignment horizontal="center" vertical="center"/>
    </xf>
    <xf numFmtId="8" fontId="3" fillId="0" borderId="17" xfId="0" applyNumberFormat="1" applyFont="1" applyBorder="1" applyAlignment="1">
      <alignment horizontal="center" vertical="center"/>
    </xf>
    <xf numFmtId="8" fontId="3" fillId="4" borderId="17" xfId="0" applyNumberFormat="1" applyFont="1" applyFill="1" applyBorder="1" applyAlignment="1">
      <alignment horizontal="center" vertical="center"/>
    </xf>
    <xf numFmtId="176" fontId="5" fillId="5" borderId="17" xfId="0" applyNumberFormat="1" applyFont="1" applyFill="1" applyBorder="1" applyAlignment="1">
      <alignment horizontal="center" vertical="center"/>
    </xf>
    <xf numFmtId="176" fontId="5" fillId="5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79" fontId="13" fillId="5" borderId="25" xfId="0" applyNumberFormat="1" applyFont="1" applyFill="1" applyBorder="1" applyAlignment="1">
      <alignment horizontal="center" vertical="center"/>
    </xf>
    <xf numFmtId="179" fontId="13" fillId="5" borderId="2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 quotePrefix="1">
      <alignment horizontal="left" vertical="center"/>
    </xf>
    <xf numFmtId="0" fontId="3" fillId="0" borderId="8" xfId="0" applyFont="1" applyFill="1" applyBorder="1" applyAlignment="1" quotePrefix="1">
      <alignment horizontal="center" vertical="center"/>
    </xf>
    <xf numFmtId="0" fontId="3" fillId="0" borderId="10" xfId="0" applyFont="1" applyFill="1" applyBorder="1" applyAlignment="1" quotePrefix="1">
      <alignment horizontal="left" vertical="center"/>
    </xf>
    <xf numFmtId="0" fontId="3" fillId="0" borderId="11" xfId="0" applyFont="1" applyFill="1" applyBorder="1" applyAlignment="1" quotePrefix="1">
      <alignment horizontal="center" vertical="center"/>
    </xf>
    <xf numFmtId="0" fontId="3" fillId="0" borderId="13" xfId="0" applyFont="1" applyFill="1" applyBorder="1" applyAlignment="1" quotePrefix="1">
      <alignment horizontal="left" vertical="center"/>
    </xf>
    <xf numFmtId="0" fontId="3" fillId="0" borderId="14" xfId="0" applyFont="1" applyFill="1" applyBorder="1" applyAlignment="1" quotePrefix="1">
      <alignment horizontal="center" vertical="center"/>
    </xf>
    <xf numFmtId="0" fontId="3" fillId="0" borderId="17" xfId="0" applyFont="1" applyFill="1" applyBorder="1" applyAlignment="1" quotePrefix="1">
      <alignment horizontal="center" vertical="center"/>
    </xf>
    <xf numFmtId="0" fontId="3" fillId="4" borderId="16" xfId="0" applyFont="1" applyFill="1" applyBorder="1" applyAlignment="1" quotePrefix="1">
      <alignment horizontal="left" vertical="center"/>
    </xf>
    <xf numFmtId="0" fontId="3" fillId="4" borderId="17" xfId="0" applyFont="1" applyFill="1" applyBorder="1" applyAlignment="1" quotePrefix="1">
      <alignment horizontal="center" vertical="center"/>
    </xf>
    <xf numFmtId="0" fontId="11" fillId="5" borderId="17" xfId="0" applyFont="1" applyFill="1" applyBorder="1" applyAlignment="1" quotePrefix="1">
      <alignment horizontal="center" vertical="center"/>
    </xf>
    <xf numFmtId="0" fontId="11" fillId="5" borderId="14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liexpress.com/item/4001142116833.html?spm=a2g0o.productlist.0.0.3515329d8EkY1u&amp;algo_pvid=76f6179c-bc7c-45d1-ae8f-d80ed9afb681&amp;algo_exp_id=76f6179c-bc7c-45d1-ae8f-d80ed9afb681-0&amp;pdp_ext_f=%7B%22sku_id%22%3A%2210000014880778866%22%7D" TargetMode="External"/><Relationship Id="rId8" Type="http://schemas.openxmlformats.org/officeDocument/2006/relationships/hyperlink" Target="https://www.aliexpress.com/item/1005002425423239.html?spm=a2g0o.productlist.0.0.211e4b7ekyJTrx&amp;algo_pvid=927e2ba2-27ae-4ffc-982d-2ce1d3f06be6&amp;algo_exp_id=927e2ba2-27ae-4ffc-982d-2ce1d3f06be6-2&amp;pdp_ext_f=%7B%22sku_id%22%3A%2212000020606607559%22%7D" TargetMode="External"/><Relationship Id="rId7" Type="http://schemas.openxmlformats.org/officeDocument/2006/relationships/hyperlink" Target="https://www.ic-grd.com/P-04140086-IPB120P04P4L03ATMA2" TargetMode="External"/><Relationship Id="rId6" Type="http://schemas.openxmlformats.org/officeDocument/2006/relationships/hyperlink" Target="https://lcsc.com/product-detail/Diodes-General-Purpose_Slkor-SLKORMICRO-Elec-M7_C426571.html" TargetMode="External"/><Relationship Id="rId5" Type="http://schemas.openxmlformats.org/officeDocument/2006/relationships/hyperlink" Target="https://lcsc.com/product-detail/AC-DC-Power-Connectors_Korean-Hroparts-Elec-DC-005-25A_C136715.html" TargetMode="External"/><Relationship Id="rId4" Type="http://schemas.openxmlformats.org/officeDocument/2006/relationships/hyperlink" Target="https://lcsc.com/product-detail/Chip-Resistor-Surface-Mount_UNI-ROYAL-Uniroyal-Elec-0805W8F1002T5E_C17414.html" TargetMode="External"/><Relationship Id="rId3" Type="http://schemas.openxmlformats.org/officeDocument/2006/relationships/hyperlink" Target="https://lcsc.com/product-detail/Chip-Resistor-Surface-Mount_YAGEO-RC1210FR-07560RL_C728387.html" TargetMode="External"/><Relationship Id="rId2" Type="http://schemas.openxmlformats.org/officeDocument/2006/relationships/hyperlink" Target="https://lcsc.com/product-detail/Bridge-Rectifiers_onsemi-DF06S_C105154.html" TargetMode="External"/><Relationship Id="rId12" Type="http://schemas.openxmlformats.org/officeDocument/2006/relationships/hyperlink" Target="https://www.dgser.com/product/details/lelon/ve-330m1etr-0605.html" TargetMode="External"/><Relationship Id="rId11" Type="http://schemas.openxmlformats.org/officeDocument/2006/relationships/hyperlink" Target="https://lcsc.com/product-detail/Chip-Resistor-Surface-Mount_UNI-ROYAL-Uniroyal-Elec-1210W2J024JT5E_C474259.html" TargetMode="External"/><Relationship Id="rId10" Type="http://schemas.openxmlformats.org/officeDocument/2006/relationships/hyperlink" Target="https://lcsc.com/product-detail/Chip-Resistor-Surface-Mount_UNI-ROYAL-Uniroyal-Elec-HP122WF200KT4E_C91926.html" TargetMode="External"/><Relationship Id="rId1" Type="http://schemas.openxmlformats.org/officeDocument/2006/relationships/hyperlink" Target="https://lcsc.com/product-detail/Diodes-General-Purpose_Shandong-Jingdao-Microelectronics-S3AB_C4376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"/>
  <sheetViews>
    <sheetView tabSelected="1" workbookViewId="0">
      <selection activeCell="C25" sqref="C25"/>
    </sheetView>
  </sheetViews>
  <sheetFormatPr defaultColWidth="9.14285714285714" defaultRowHeight="15"/>
  <cols>
    <col min="2" max="2" width="14.2857142857143" customWidth="1"/>
    <col min="3" max="3" width="80.4285714285714" customWidth="1"/>
    <col min="4" max="4" width="25.8571428571429" customWidth="1"/>
    <col min="5" max="5" width="22.1428571428571" customWidth="1"/>
    <col min="6" max="6" width="30.7142857142857" customWidth="1"/>
    <col min="7" max="7" width="29.5714285714286" customWidth="1"/>
    <col min="8" max="8" width="15.2857142857143" customWidth="1"/>
    <col min="9" max="9" width="16.7142857142857" customWidth="1"/>
    <col min="11" max="12" width="23.4285714285714" customWidth="1"/>
    <col min="13" max="13" width="22" customWidth="1"/>
    <col min="14" max="14" width="23.2857142857143" customWidth="1"/>
    <col min="15" max="15" width="24.5714285714286" customWidth="1"/>
    <col min="16" max="16" width="10.5714285714286" customWidth="1"/>
    <col min="17" max="17" width="13.4285714285714" customWidth="1"/>
    <col min="18" max="18" width="14.2857142857143" customWidth="1"/>
    <col min="19" max="20" width="22.1428571428571" customWidth="1"/>
    <col min="21" max="21" width="23.4285714285714" customWidth="1"/>
    <col min="22" max="23" width="15" customWidth="1"/>
    <col min="24" max="24" width="24.7142857142857" customWidth="1"/>
    <col min="25" max="25" width="17.5714285714286" customWidth="1"/>
    <col min="26" max="26" width="19.5714285714286" customWidth="1"/>
  </cols>
  <sheetData>
    <row r="1" ht="16.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7"/>
      <c r="W1" s="57"/>
      <c r="X1" s="57"/>
      <c r="Y1" s="57"/>
      <c r="Z1" s="67"/>
    </row>
    <row r="2" ht="16.5" spans="1:2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</row>
    <row r="3" ht="16.5" spans="1:27">
      <c r="A3" s="5">
        <v>1</v>
      </c>
      <c r="B3" s="6" t="s">
        <v>27</v>
      </c>
      <c r="C3" s="76" t="s">
        <v>28</v>
      </c>
      <c r="D3" s="77" t="s">
        <v>29</v>
      </c>
      <c r="E3" s="8" t="s">
        <v>30</v>
      </c>
      <c r="F3" s="77" t="s">
        <v>31</v>
      </c>
      <c r="G3" s="77" t="s">
        <v>32</v>
      </c>
      <c r="H3" s="9"/>
      <c r="I3" s="9"/>
      <c r="J3" s="77" t="s">
        <v>33</v>
      </c>
      <c r="K3" s="8">
        <v>1</v>
      </c>
      <c r="L3" s="9">
        <f>K3*5</f>
        <v>5</v>
      </c>
      <c r="M3" s="9">
        <f>K3*20</f>
        <v>20</v>
      </c>
      <c r="N3" s="9">
        <f>K3*100</f>
        <v>100</v>
      </c>
      <c r="O3" s="9">
        <v>120</v>
      </c>
      <c r="P3" s="40" t="s">
        <v>34</v>
      </c>
      <c r="Q3" s="58">
        <v>0.05</v>
      </c>
      <c r="R3" s="58">
        <f>Q3*K3</f>
        <v>0.05</v>
      </c>
      <c r="S3" s="58">
        <v>0.05</v>
      </c>
      <c r="T3" s="58">
        <f>S3*L3</f>
        <v>0.25</v>
      </c>
      <c r="U3" s="58">
        <v>0.05</v>
      </c>
      <c r="V3" s="58">
        <f>U3*M3</f>
        <v>1</v>
      </c>
      <c r="W3" s="58">
        <f>Q3*O3</f>
        <v>6</v>
      </c>
      <c r="X3" s="58">
        <v>0.05</v>
      </c>
      <c r="Y3" s="58">
        <f>X3*N3</f>
        <v>5</v>
      </c>
      <c r="Z3" s="68"/>
      <c r="AA3" s="69"/>
    </row>
    <row r="4" ht="15.75" spans="1:27">
      <c r="A4" s="5">
        <v>2</v>
      </c>
      <c r="B4" s="10" t="s">
        <v>35</v>
      </c>
      <c r="C4" s="78" t="s">
        <v>36</v>
      </c>
      <c r="D4" s="79" t="s">
        <v>37</v>
      </c>
      <c r="E4" s="79" t="s">
        <v>38</v>
      </c>
      <c r="F4" s="79" t="s">
        <v>39</v>
      </c>
      <c r="G4" s="79" t="s">
        <v>40</v>
      </c>
      <c r="H4" s="13" t="s">
        <v>41</v>
      </c>
      <c r="I4" s="41"/>
      <c r="J4" s="79" t="s">
        <v>42</v>
      </c>
      <c r="K4" s="12">
        <v>1</v>
      </c>
      <c r="L4" s="41">
        <f t="shared" ref="L4:L17" si="0">K4*5</f>
        <v>5</v>
      </c>
      <c r="M4" s="41">
        <f t="shared" ref="M4:M17" si="1">K4*20</f>
        <v>20</v>
      </c>
      <c r="N4" s="41">
        <f t="shared" ref="N4:N17" si="2">K4*100</f>
        <v>100</v>
      </c>
      <c r="O4" s="41">
        <v>150</v>
      </c>
      <c r="P4" s="42" t="s">
        <v>43</v>
      </c>
      <c r="Q4" s="59">
        <v>0.01</v>
      </c>
      <c r="R4" s="59">
        <f t="shared" ref="R4:R15" si="3">Q4*K4</f>
        <v>0.01</v>
      </c>
      <c r="S4" s="59">
        <v>0.01</v>
      </c>
      <c r="T4" s="59">
        <f t="shared" ref="T4:T15" si="4">S4*L4</f>
        <v>0.05</v>
      </c>
      <c r="U4" s="59">
        <v>0.01</v>
      </c>
      <c r="V4" s="59">
        <f t="shared" ref="V4:V15" si="5">U4*M4</f>
        <v>0.2</v>
      </c>
      <c r="W4" s="59">
        <f t="shared" ref="W4:W15" si="6">Q4*O4</f>
        <v>1.5</v>
      </c>
      <c r="X4" s="59">
        <v>0.01</v>
      </c>
      <c r="Y4" s="59">
        <f t="shared" ref="Y4:Y15" si="7">X4*N4</f>
        <v>1</v>
      </c>
      <c r="Z4" s="70"/>
      <c r="AA4" s="69"/>
    </row>
    <row r="5" ht="16.5" spans="1:27">
      <c r="A5" s="5">
        <v>3</v>
      </c>
      <c r="B5" s="14"/>
      <c r="C5" s="80" t="s">
        <v>44</v>
      </c>
      <c r="D5" s="81" t="s">
        <v>45</v>
      </c>
      <c r="E5" s="81" t="s">
        <v>46</v>
      </c>
      <c r="F5" s="81" t="s">
        <v>46</v>
      </c>
      <c r="G5" s="81" t="s">
        <v>47</v>
      </c>
      <c r="H5" s="17" t="s">
        <v>48</v>
      </c>
      <c r="I5" s="43"/>
      <c r="J5" s="81" t="s">
        <v>42</v>
      </c>
      <c r="K5" s="16">
        <v>3</v>
      </c>
      <c r="L5" s="43">
        <f t="shared" si="0"/>
        <v>15</v>
      </c>
      <c r="M5" s="43">
        <f t="shared" si="1"/>
        <v>60</v>
      </c>
      <c r="N5" s="43">
        <f t="shared" si="2"/>
        <v>300</v>
      </c>
      <c r="O5" s="43">
        <v>320</v>
      </c>
      <c r="P5" s="44" t="s">
        <v>43</v>
      </c>
      <c r="Q5" s="60">
        <v>0.0283</v>
      </c>
      <c r="R5" s="60">
        <f t="shared" si="3"/>
        <v>0.0849</v>
      </c>
      <c r="S5" s="60">
        <v>0.0283</v>
      </c>
      <c r="T5" s="60">
        <f t="shared" si="4"/>
        <v>0.4245</v>
      </c>
      <c r="U5" s="60">
        <v>0.0283</v>
      </c>
      <c r="V5" s="60">
        <f t="shared" si="5"/>
        <v>1.698</v>
      </c>
      <c r="W5" s="60">
        <f t="shared" si="6"/>
        <v>9.056</v>
      </c>
      <c r="X5" s="60">
        <v>0.0209</v>
      </c>
      <c r="Y5" s="60">
        <f t="shared" si="7"/>
        <v>6.27</v>
      </c>
      <c r="Z5" s="71"/>
      <c r="AA5" s="69"/>
    </row>
    <row r="6" ht="16.5" spans="1:27">
      <c r="A6" s="5">
        <v>4</v>
      </c>
      <c r="B6" s="18" t="s">
        <v>49</v>
      </c>
      <c r="C6" s="76" t="s">
        <v>50</v>
      </c>
      <c r="D6" s="77" t="s">
        <v>51</v>
      </c>
      <c r="E6" s="9" t="s">
        <v>52</v>
      </c>
      <c r="F6" s="77" t="s">
        <v>53</v>
      </c>
      <c r="G6" s="77" t="s">
        <v>54</v>
      </c>
      <c r="H6" s="9"/>
      <c r="I6" s="9"/>
      <c r="J6" s="77" t="s">
        <v>42</v>
      </c>
      <c r="K6" s="8">
        <v>2</v>
      </c>
      <c r="L6" s="9">
        <f t="shared" si="0"/>
        <v>10</v>
      </c>
      <c r="M6" s="9">
        <f t="shared" si="1"/>
        <v>40</v>
      </c>
      <c r="N6" s="9">
        <f t="shared" si="2"/>
        <v>200</v>
      </c>
      <c r="O6" s="9">
        <v>220</v>
      </c>
      <c r="P6" s="45" t="s">
        <v>55</v>
      </c>
      <c r="Q6" s="58">
        <v>2.96</v>
      </c>
      <c r="R6" s="58">
        <f t="shared" si="3"/>
        <v>5.92</v>
      </c>
      <c r="S6" s="58">
        <v>2.96</v>
      </c>
      <c r="T6" s="58">
        <f t="shared" si="4"/>
        <v>29.6</v>
      </c>
      <c r="U6" s="58">
        <v>2.96</v>
      </c>
      <c r="V6" s="58">
        <f t="shared" si="5"/>
        <v>118.4</v>
      </c>
      <c r="W6" s="58">
        <f t="shared" si="6"/>
        <v>651.2</v>
      </c>
      <c r="X6" s="58">
        <v>2.96</v>
      </c>
      <c r="Y6" s="58">
        <f t="shared" si="7"/>
        <v>592</v>
      </c>
      <c r="Z6" s="68"/>
      <c r="AA6" s="69"/>
    </row>
    <row r="7" ht="16.5" spans="1:27">
      <c r="A7" s="5">
        <v>5</v>
      </c>
      <c r="B7" s="6" t="s">
        <v>56</v>
      </c>
      <c r="C7" s="76" t="s">
        <v>57</v>
      </c>
      <c r="D7" s="77" t="s">
        <v>58</v>
      </c>
      <c r="E7" s="77" t="s">
        <v>59</v>
      </c>
      <c r="F7" s="77" t="s">
        <v>59</v>
      </c>
      <c r="G7" s="77" t="s">
        <v>60</v>
      </c>
      <c r="H7" s="19" t="s">
        <v>61</v>
      </c>
      <c r="I7" s="9"/>
      <c r="J7" s="77" t="s">
        <v>42</v>
      </c>
      <c r="K7" s="8">
        <v>2</v>
      </c>
      <c r="L7" s="9">
        <f t="shared" si="0"/>
        <v>10</v>
      </c>
      <c r="M7" s="9">
        <f t="shared" si="1"/>
        <v>40</v>
      </c>
      <c r="N7" s="9">
        <f t="shared" si="2"/>
        <v>200</v>
      </c>
      <c r="O7" s="9">
        <v>220</v>
      </c>
      <c r="P7" s="45" t="s">
        <v>43</v>
      </c>
      <c r="Q7" s="58" t="s">
        <v>62</v>
      </c>
      <c r="R7" s="58">
        <f t="shared" si="3"/>
        <v>0.8152</v>
      </c>
      <c r="S7" s="58">
        <v>0.3174</v>
      </c>
      <c r="T7" s="58">
        <f t="shared" si="4"/>
        <v>3.174</v>
      </c>
      <c r="U7" s="58">
        <v>0.3012</v>
      </c>
      <c r="V7" s="58">
        <f t="shared" si="5"/>
        <v>12.048</v>
      </c>
      <c r="W7" s="58">
        <f t="shared" si="6"/>
        <v>89.672</v>
      </c>
      <c r="X7" s="58">
        <v>0.2832</v>
      </c>
      <c r="Y7" s="58">
        <f t="shared" si="7"/>
        <v>56.64</v>
      </c>
      <c r="Z7" s="68"/>
      <c r="AA7" s="69"/>
    </row>
    <row r="8" ht="15.75" spans="1:27">
      <c r="A8" s="5">
        <v>6</v>
      </c>
      <c r="B8" s="10" t="s">
        <v>63</v>
      </c>
      <c r="C8" s="78" t="s">
        <v>64</v>
      </c>
      <c r="D8" s="79" t="s">
        <v>65</v>
      </c>
      <c r="E8" s="79" t="s">
        <v>66</v>
      </c>
      <c r="F8" s="79" t="s">
        <v>67</v>
      </c>
      <c r="G8" s="79" t="s">
        <v>68</v>
      </c>
      <c r="H8" s="13" t="s">
        <v>69</v>
      </c>
      <c r="I8" s="41"/>
      <c r="J8" s="79" t="s">
        <v>70</v>
      </c>
      <c r="K8" s="12">
        <v>2</v>
      </c>
      <c r="L8" s="41">
        <f t="shared" si="0"/>
        <v>10</v>
      </c>
      <c r="M8" s="41">
        <f t="shared" si="1"/>
        <v>40</v>
      </c>
      <c r="N8" s="41">
        <f t="shared" si="2"/>
        <v>200</v>
      </c>
      <c r="O8" s="41">
        <v>250</v>
      </c>
      <c r="P8" s="46" t="s">
        <v>43</v>
      </c>
      <c r="Q8" s="59">
        <v>0.0118</v>
      </c>
      <c r="R8" s="59">
        <f t="shared" si="3"/>
        <v>0.0236</v>
      </c>
      <c r="S8" s="59">
        <v>0.0118</v>
      </c>
      <c r="T8" s="59">
        <f t="shared" si="4"/>
        <v>0.118</v>
      </c>
      <c r="U8" s="59">
        <v>0.0118</v>
      </c>
      <c r="V8" s="59">
        <f t="shared" si="5"/>
        <v>0.472</v>
      </c>
      <c r="W8" s="59">
        <f t="shared" si="6"/>
        <v>2.95</v>
      </c>
      <c r="X8" s="59">
        <v>0.0118</v>
      </c>
      <c r="Y8" s="59">
        <f t="shared" si="7"/>
        <v>2.36</v>
      </c>
      <c r="Z8" s="70"/>
      <c r="AA8" s="69"/>
    </row>
    <row r="9" ht="15.75" spans="1:27">
      <c r="A9" s="5">
        <v>7</v>
      </c>
      <c r="B9" s="20"/>
      <c r="C9" s="21" t="s">
        <v>71</v>
      </c>
      <c r="D9" s="82" t="s">
        <v>72</v>
      </c>
      <c r="E9" s="82" t="s">
        <v>73</v>
      </c>
      <c r="F9" s="82" t="s">
        <v>74</v>
      </c>
      <c r="G9" s="82" t="s">
        <v>75</v>
      </c>
      <c r="H9" s="23" t="s">
        <v>76</v>
      </c>
      <c r="I9" s="47"/>
      <c r="J9" s="82" t="s">
        <v>77</v>
      </c>
      <c r="K9" s="22">
        <v>6</v>
      </c>
      <c r="L9" s="47">
        <f t="shared" si="0"/>
        <v>30</v>
      </c>
      <c r="M9" s="47">
        <f t="shared" si="1"/>
        <v>120</v>
      </c>
      <c r="N9" s="47">
        <f t="shared" si="2"/>
        <v>600</v>
      </c>
      <c r="O9" s="47">
        <v>700</v>
      </c>
      <c r="P9" s="48" t="s">
        <v>43</v>
      </c>
      <c r="Q9" s="61">
        <v>0.0024</v>
      </c>
      <c r="R9" s="61">
        <f t="shared" si="3"/>
        <v>0.0144</v>
      </c>
      <c r="S9" s="61">
        <v>0.0024</v>
      </c>
      <c r="T9" s="61">
        <f t="shared" si="4"/>
        <v>0.072</v>
      </c>
      <c r="U9" s="61">
        <v>0.0024</v>
      </c>
      <c r="V9" s="61">
        <f t="shared" si="5"/>
        <v>0.288</v>
      </c>
      <c r="W9" s="61">
        <f t="shared" si="6"/>
        <v>1.68</v>
      </c>
      <c r="X9" s="61">
        <v>0.0024</v>
      </c>
      <c r="Y9" s="61">
        <f t="shared" si="7"/>
        <v>1.44</v>
      </c>
      <c r="Z9" s="72"/>
      <c r="AA9" s="69"/>
    </row>
    <row r="10" ht="15.75" spans="1:27">
      <c r="A10" s="5">
        <v>8</v>
      </c>
      <c r="B10" s="20"/>
      <c r="C10" s="21" t="s">
        <v>78</v>
      </c>
      <c r="D10" s="82" t="s">
        <v>79</v>
      </c>
      <c r="E10" s="82" t="s">
        <v>80</v>
      </c>
      <c r="F10" s="82" t="s">
        <v>81</v>
      </c>
      <c r="G10" s="82" t="s">
        <v>82</v>
      </c>
      <c r="H10" s="24" t="s">
        <v>83</v>
      </c>
      <c r="I10" s="24" t="s">
        <v>84</v>
      </c>
      <c r="J10" s="82" t="s">
        <v>85</v>
      </c>
      <c r="K10" s="22">
        <v>6</v>
      </c>
      <c r="L10" s="47">
        <f t="shared" si="0"/>
        <v>30</v>
      </c>
      <c r="M10" s="47">
        <f t="shared" si="1"/>
        <v>120</v>
      </c>
      <c r="N10" s="47">
        <f t="shared" si="2"/>
        <v>600</v>
      </c>
      <c r="O10" s="47">
        <v>620</v>
      </c>
      <c r="P10" s="49" t="s">
        <v>43</v>
      </c>
      <c r="Q10" s="61">
        <v>0.177</v>
      </c>
      <c r="R10" s="61">
        <f t="shared" si="3"/>
        <v>1.062</v>
      </c>
      <c r="S10" s="61">
        <v>0.1217</v>
      </c>
      <c r="T10" s="61">
        <f t="shared" si="4"/>
        <v>3.651</v>
      </c>
      <c r="U10" s="61">
        <v>0.1132</v>
      </c>
      <c r="V10" s="61">
        <f t="shared" si="5"/>
        <v>13.584</v>
      </c>
      <c r="W10" s="61">
        <f t="shared" si="6"/>
        <v>109.74</v>
      </c>
      <c r="X10" s="61">
        <v>0.1094</v>
      </c>
      <c r="Y10" s="61">
        <f t="shared" si="7"/>
        <v>65.64</v>
      </c>
      <c r="Z10" s="73" t="s">
        <v>86</v>
      </c>
      <c r="AA10" s="69"/>
    </row>
    <row r="11" ht="16.5" spans="1:27">
      <c r="A11" s="5">
        <v>9</v>
      </c>
      <c r="B11" s="14"/>
      <c r="C11" s="15" t="s">
        <v>87</v>
      </c>
      <c r="D11" s="81" t="s">
        <v>88</v>
      </c>
      <c r="E11" s="81" t="s">
        <v>66</v>
      </c>
      <c r="F11" s="81" t="s">
        <v>89</v>
      </c>
      <c r="G11" s="81" t="s">
        <v>82</v>
      </c>
      <c r="H11" s="17" t="s">
        <v>90</v>
      </c>
      <c r="I11" s="17" t="s">
        <v>91</v>
      </c>
      <c r="J11" s="81" t="s">
        <v>92</v>
      </c>
      <c r="K11" s="16">
        <v>2</v>
      </c>
      <c r="L11" s="43">
        <f t="shared" si="0"/>
        <v>10</v>
      </c>
      <c r="M11" s="43">
        <f t="shared" si="1"/>
        <v>40</v>
      </c>
      <c r="N11" s="43">
        <f t="shared" si="2"/>
        <v>200</v>
      </c>
      <c r="O11" s="43">
        <v>250</v>
      </c>
      <c r="P11" s="50" t="s">
        <v>43</v>
      </c>
      <c r="Q11" s="60">
        <v>0.0107</v>
      </c>
      <c r="R11" s="60">
        <f t="shared" si="3"/>
        <v>0.0214</v>
      </c>
      <c r="S11" s="60">
        <v>0.0107</v>
      </c>
      <c r="T11" s="60">
        <f t="shared" si="4"/>
        <v>0.107</v>
      </c>
      <c r="U11" s="60">
        <v>0.0107</v>
      </c>
      <c r="V11" s="60">
        <f t="shared" si="5"/>
        <v>0.428</v>
      </c>
      <c r="W11" s="60">
        <f t="shared" si="6"/>
        <v>2.675</v>
      </c>
      <c r="X11" s="60">
        <v>0.0107</v>
      </c>
      <c r="Y11" s="60">
        <f t="shared" si="7"/>
        <v>2.14</v>
      </c>
      <c r="Z11" s="71"/>
      <c r="AA11" s="69"/>
    </row>
    <row r="12" ht="16.5" spans="1:27">
      <c r="A12" s="5">
        <v>10</v>
      </c>
      <c r="B12" s="6" t="s">
        <v>93</v>
      </c>
      <c r="C12" s="25" t="s">
        <v>94</v>
      </c>
      <c r="D12" s="77" t="s">
        <v>95</v>
      </c>
      <c r="E12" s="8" t="s">
        <v>30</v>
      </c>
      <c r="F12" s="77" t="s">
        <v>96</v>
      </c>
      <c r="G12" s="77" t="s">
        <v>60</v>
      </c>
      <c r="H12" s="9"/>
      <c r="I12" s="9"/>
      <c r="J12" s="77" t="s">
        <v>42</v>
      </c>
      <c r="K12" s="8">
        <v>2</v>
      </c>
      <c r="L12" s="9">
        <f t="shared" si="0"/>
        <v>10</v>
      </c>
      <c r="M12" s="9">
        <f t="shared" si="1"/>
        <v>40</v>
      </c>
      <c r="N12" s="9">
        <f t="shared" si="2"/>
        <v>200</v>
      </c>
      <c r="O12" s="9">
        <v>220</v>
      </c>
      <c r="P12" s="40" t="s">
        <v>97</v>
      </c>
      <c r="Q12" s="58">
        <v>0.2</v>
      </c>
      <c r="R12" s="58">
        <f t="shared" si="3"/>
        <v>0.4</v>
      </c>
      <c r="S12" s="58">
        <v>0.2</v>
      </c>
      <c r="T12" s="58">
        <f t="shared" si="4"/>
        <v>2</v>
      </c>
      <c r="U12" s="58">
        <v>0.2</v>
      </c>
      <c r="V12" s="58">
        <f t="shared" si="5"/>
        <v>8</v>
      </c>
      <c r="W12" s="58">
        <f t="shared" si="6"/>
        <v>44</v>
      </c>
      <c r="X12" s="58">
        <v>0.2</v>
      </c>
      <c r="Y12" s="58">
        <f t="shared" si="7"/>
        <v>40</v>
      </c>
      <c r="Z12" s="68"/>
      <c r="AA12" s="69"/>
    </row>
    <row r="13" ht="15.75" spans="1:27">
      <c r="A13" s="5">
        <v>11</v>
      </c>
      <c r="B13" s="10" t="s">
        <v>98</v>
      </c>
      <c r="C13" s="78" t="s">
        <v>99</v>
      </c>
      <c r="D13" s="79" t="s">
        <v>100</v>
      </c>
      <c r="E13" s="12" t="s">
        <v>30</v>
      </c>
      <c r="F13" s="79" t="s">
        <v>101</v>
      </c>
      <c r="G13" s="79" t="s">
        <v>102</v>
      </c>
      <c r="H13" s="26" t="s">
        <v>103</v>
      </c>
      <c r="I13" s="41"/>
      <c r="J13" s="79" t="s">
        <v>42</v>
      </c>
      <c r="K13" s="12">
        <v>1</v>
      </c>
      <c r="L13" s="41">
        <f t="shared" si="0"/>
        <v>5</v>
      </c>
      <c r="M13" s="41">
        <f t="shared" si="1"/>
        <v>20</v>
      </c>
      <c r="N13" s="41">
        <f t="shared" si="2"/>
        <v>100</v>
      </c>
      <c r="O13" s="41">
        <v>120</v>
      </c>
      <c r="P13" s="46" t="s">
        <v>43</v>
      </c>
      <c r="Q13" s="59">
        <v>0.0952</v>
      </c>
      <c r="R13" s="59">
        <f t="shared" si="3"/>
        <v>0.0952</v>
      </c>
      <c r="S13" s="59">
        <v>0.0952</v>
      </c>
      <c r="T13" s="59">
        <f t="shared" si="4"/>
        <v>0.476</v>
      </c>
      <c r="U13" s="59">
        <v>0.0952</v>
      </c>
      <c r="V13" s="59">
        <f t="shared" si="5"/>
        <v>1.904</v>
      </c>
      <c r="W13" s="59">
        <f t="shared" si="6"/>
        <v>11.424</v>
      </c>
      <c r="X13" s="59">
        <v>0.07</v>
      </c>
      <c r="Y13" s="59">
        <f t="shared" si="7"/>
        <v>7</v>
      </c>
      <c r="Z13" s="70"/>
      <c r="AA13" s="69"/>
    </row>
    <row r="14" ht="15.75" spans="1:27">
      <c r="A14" s="5">
        <v>12</v>
      </c>
      <c r="B14" s="20"/>
      <c r="C14" s="27" t="s">
        <v>104</v>
      </c>
      <c r="D14" s="82" t="s">
        <v>105</v>
      </c>
      <c r="E14" s="22" t="s">
        <v>30</v>
      </c>
      <c r="F14" s="82" t="s">
        <v>106</v>
      </c>
      <c r="G14" s="82" t="s">
        <v>107</v>
      </c>
      <c r="H14" s="28"/>
      <c r="I14" s="47"/>
      <c r="J14" s="82" t="s">
        <v>42</v>
      </c>
      <c r="K14" s="22">
        <v>1</v>
      </c>
      <c r="L14" s="47">
        <f t="shared" si="0"/>
        <v>5</v>
      </c>
      <c r="M14" s="47">
        <f t="shared" si="1"/>
        <v>20</v>
      </c>
      <c r="N14" s="47">
        <f t="shared" si="2"/>
        <v>100</v>
      </c>
      <c r="O14" s="47">
        <v>120</v>
      </c>
      <c r="P14" s="49" t="s">
        <v>97</v>
      </c>
      <c r="Q14" s="61">
        <v>4</v>
      </c>
      <c r="R14" s="61">
        <f t="shared" si="3"/>
        <v>4</v>
      </c>
      <c r="S14" s="61">
        <v>4</v>
      </c>
      <c r="T14" s="61">
        <f t="shared" si="4"/>
        <v>20</v>
      </c>
      <c r="U14" s="61">
        <v>4</v>
      </c>
      <c r="V14" s="61">
        <f t="shared" si="5"/>
        <v>80</v>
      </c>
      <c r="W14" s="61">
        <f t="shared" si="6"/>
        <v>480</v>
      </c>
      <c r="X14" s="61">
        <v>4</v>
      </c>
      <c r="Y14" s="61">
        <f t="shared" si="7"/>
        <v>400</v>
      </c>
      <c r="Z14" s="72"/>
      <c r="AA14" s="69"/>
    </row>
    <row r="15" ht="15.75" spans="1:27">
      <c r="A15" s="5">
        <v>13</v>
      </c>
      <c r="B15" s="20"/>
      <c r="C15" s="83" t="s">
        <v>108</v>
      </c>
      <c r="D15" s="84" t="s">
        <v>109</v>
      </c>
      <c r="E15" s="30" t="s">
        <v>30</v>
      </c>
      <c r="F15" s="84" t="s">
        <v>110</v>
      </c>
      <c r="G15" s="30"/>
      <c r="H15" s="30"/>
      <c r="I15" s="30"/>
      <c r="J15" s="84" t="s">
        <v>42</v>
      </c>
      <c r="K15" s="30">
        <v>1</v>
      </c>
      <c r="L15" s="30">
        <f t="shared" si="0"/>
        <v>5</v>
      </c>
      <c r="M15" s="30">
        <f t="shared" si="1"/>
        <v>20</v>
      </c>
      <c r="N15" s="30">
        <f t="shared" si="2"/>
        <v>100</v>
      </c>
      <c r="O15" s="30"/>
      <c r="P15" s="30"/>
      <c r="Q15" s="62"/>
      <c r="R15" s="62">
        <f t="shared" si="3"/>
        <v>0</v>
      </c>
      <c r="S15" s="62"/>
      <c r="T15" s="62">
        <f t="shared" si="4"/>
        <v>0</v>
      </c>
      <c r="U15" s="62"/>
      <c r="V15" s="62">
        <f t="shared" si="5"/>
        <v>0</v>
      </c>
      <c r="W15" s="62">
        <f t="shared" si="6"/>
        <v>0</v>
      </c>
      <c r="X15" s="62"/>
      <c r="Y15" s="62">
        <f t="shared" si="7"/>
        <v>0</v>
      </c>
      <c r="Z15" s="73" t="s">
        <v>111</v>
      </c>
      <c r="AA15" s="69"/>
    </row>
    <row r="16" ht="15.75" spans="1:27">
      <c r="A16" s="5">
        <v>14</v>
      </c>
      <c r="B16" s="20"/>
      <c r="C16" s="31" t="s">
        <v>112</v>
      </c>
      <c r="D16" s="32" t="s">
        <v>113</v>
      </c>
      <c r="E16" s="33" t="s">
        <v>30</v>
      </c>
      <c r="F16" s="34" t="s">
        <v>114</v>
      </c>
      <c r="G16" s="34" t="s">
        <v>114</v>
      </c>
      <c r="H16" s="34" t="s">
        <v>114</v>
      </c>
      <c r="I16" s="34" t="s">
        <v>114</v>
      </c>
      <c r="J16" s="85" t="s">
        <v>42</v>
      </c>
      <c r="K16" s="32">
        <v>2</v>
      </c>
      <c r="L16" s="32">
        <v>10</v>
      </c>
      <c r="M16" s="32">
        <v>40</v>
      </c>
      <c r="N16" s="32">
        <v>200</v>
      </c>
      <c r="O16" s="52" t="s">
        <v>114</v>
      </c>
      <c r="P16" s="52" t="s">
        <v>114</v>
      </c>
      <c r="Q16" s="63" t="s">
        <v>114</v>
      </c>
      <c r="R16" s="63" t="s">
        <v>114</v>
      </c>
      <c r="S16" s="63" t="s">
        <v>114</v>
      </c>
      <c r="T16" s="63" t="s">
        <v>114</v>
      </c>
      <c r="U16" s="63" t="s">
        <v>114</v>
      </c>
      <c r="V16" s="63" t="s">
        <v>114</v>
      </c>
      <c r="W16" s="63" t="s">
        <v>114</v>
      </c>
      <c r="X16" s="63" t="s">
        <v>114</v>
      </c>
      <c r="Y16" s="63" t="s">
        <v>114</v>
      </c>
      <c r="Z16" s="74" t="s">
        <v>115</v>
      </c>
      <c r="AA16" s="69"/>
    </row>
    <row r="17" ht="16.5" spans="1:26">
      <c r="A17" s="5">
        <v>15</v>
      </c>
      <c r="B17" s="14"/>
      <c r="C17" s="35" t="s">
        <v>116</v>
      </c>
      <c r="D17" s="36" t="s">
        <v>117</v>
      </c>
      <c r="E17" s="37" t="s">
        <v>30</v>
      </c>
      <c r="F17" s="38" t="s">
        <v>114</v>
      </c>
      <c r="G17" s="38" t="s">
        <v>114</v>
      </c>
      <c r="H17" s="38" t="s">
        <v>114</v>
      </c>
      <c r="I17" s="38" t="s">
        <v>114</v>
      </c>
      <c r="J17" s="86" t="s">
        <v>42</v>
      </c>
      <c r="K17" s="36">
        <v>7</v>
      </c>
      <c r="L17" s="36">
        <v>35</v>
      </c>
      <c r="M17" s="36">
        <v>140</v>
      </c>
      <c r="N17" s="36">
        <v>700</v>
      </c>
      <c r="O17" s="54" t="s">
        <v>114</v>
      </c>
      <c r="P17" s="54" t="s">
        <v>114</v>
      </c>
      <c r="Q17" s="64" t="s">
        <v>114</v>
      </c>
      <c r="R17" s="64" t="s">
        <v>114</v>
      </c>
      <c r="S17" s="64" t="s">
        <v>114</v>
      </c>
      <c r="T17" s="64" t="s">
        <v>114</v>
      </c>
      <c r="U17" s="64" t="s">
        <v>114</v>
      </c>
      <c r="V17" s="64" t="s">
        <v>114</v>
      </c>
      <c r="W17" s="64" t="s">
        <v>114</v>
      </c>
      <c r="X17" s="64" t="s">
        <v>114</v>
      </c>
      <c r="Y17" s="64" t="s">
        <v>114</v>
      </c>
      <c r="Z17" s="75" t="s">
        <v>115</v>
      </c>
    </row>
    <row r="18" ht="21.75" spans="4:25">
      <c r="D18" s="39"/>
      <c r="K18" s="55" t="s">
        <v>118</v>
      </c>
      <c r="L18" s="55"/>
      <c r="M18" s="55"/>
      <c r="N18" s="55"/>
      <c r="O18" s="55"/>
      <c r="P18" s="55"/>
      <c r="Q18" s="55"/>
      <c r="S18" s="65"/>
      <c r="T18" s="66">
        <f>SUM(T3:T15)</f>
        <v>59.9225</v>
      </c>
      <c r="U18" s="65"/>
      <c r="V18" s="66">
        <f>SUM(V3:V15)</f>
        <v>238.022</v>
      </c>
      <c r="W18" s="66">
        <f>SUM(W3:W15)</f>
        <v>1409.897</v>
      </c>
      <c r="X18" s="65"/>
      <c r="Y18" s="66">
        <f>SUM(Y3:Y15)</f>
        <v>1179.49</v>
      </c>
    </row>
    <row r="19" ht="21" spans="11:26">
      <c r="K19" s="56" t="s">
        <v>119</v>
      </c>
      <c r="L19" s="56"/>
      <c r="M19" s="56"/>
      <c r="N19" s="56"/>
      <c r="O19" s="56"/>
      <c r="P19" s="56"/>
      <c r="Q19" s="56"/>
      <c r="R19" s="66">
        <f>SUM(R3:R15)</f>
        <v>12.4967</v>
      </c>
      <c r="S19" s="65"/>
      <c r="T19" s="66">
        <f>T18/5</f>
        <v>11.9845</v>
      </c>
      <c r="U19" s="65"/>
      <c r="V19" s="66">
        <f>V18/20</f>
        <v>11.9011</v>
      </c>
      <c r="W19" s="66">
        <f>W18/100</f>
        <v>14.09897</v>
      </c>
      <c r="X19" s="65"/>
      <c r="Y19" s="66">
        <f>Y18/100</f>
        <v>11.7949</v>
      </c>
      <c r="Z19" s="65"/>
    </row>
  </sheetData>
  <mergeCells count="6">
    <mergeCell ref="A1:Z1"/>
    <mergeCell ref="K18:Q18"/>
    <mergeCell ref="K19:Q19"/>
    <mergeCell ref="B4:B5"/>
    <mergeCell ref="B8:B11"/>
    <mergeCell ref="B13:B17"/>
  </mergeCells>
  <conditionalFormatting sqref="T18:Z18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{5d710f97-1bf7-4784-894e-1861056f6628}</x14:id>
        </ext>
      </extLst>
    </cfRule>
  </conditionalFormatting>
  <conditionalFormatting sqref="R19:Z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{e0e5c7ab-ae3e-4dac-94d8-975e90381f46}</x14:id>
        </ext>
      </extLst>
    </cfRule>
  </conditionalFormatting>
  <conditionalFormatting sqref="R3:R1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{17634760-f266-4682-89c5-eb5f05e41d77}</x14:id>
        </ext>
      </extLst>
    </cfRule>
  </conditionalFormatting>
  <conditionalFormatting sqref="T3:T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{e17ecb40-d5e3-4565-a969-683333b81809}</x14:id>
        </ext>
      </extLst>
    </cfRule>
  </conditionalFormatting>
  <conditionalFormatting sqref="V3:V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{55660422-6c30-4a05-a6c1-dcc473a0984e}</x14:id>
        </ext>
      </extLst>
    </cfRule>
  </conditionalFormatting>
  <conditionalFormatting sqref="W3:W1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{0ccb8173-a81f-4795-af77-04beef2e5035}</x14:id>
        </ext>
      </extLst>
    </cfRule>
  </conditionalFormatting>
  <conditionalFormatting sqref="Y3:Y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{962429e8-f0bd-4e9f-bc8e-39cad2b910fc}</x14:id>
        </ext>
      </extLst>
    </cfRule>
  </conditionalFormatting>
  <conditionalFormatting sqref="K3:N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P5" r:id="rId1" display="LCSC"/>
    <hyperlink ref="P7" r:id="rId2" display="LCSC"/>
    <hyperlink ref="P8" r:id="rId3" display="LCSC"/>
    <hyperlink ref="P9" r:id="rId4" display="LCSC"/>
    <hyperlink ref="P13" r:id="rId5" display="LCSC"/>
    <hyperlink ref="P4" r:id="rId6" display="LCSC"/>
    <hyperlink ref="P6" r:id="rId7" display="IC-Chip"/>
    <hyperlink ref="P14" r:id="rId8" display="Aliexpress"/>
    <hyperlink ref="P12" r:id="rId9" display="Aliexpress"/>
    <hyperlink ref="P10" r:id="rId10" display="LCSC"/>
    <hyperlink ref="P11" r:id="rId11" display="LCSC"/>
    <hyperlink ref="P3" r:id="rId12" display="DGSER"/>
  </hyperlink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710f97-1bf7-4784-894e-1861056f66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T18:Z18</xm:sqref>
        </x14:conditionalFormatting>
        <x14:conditionalFormatting xmlns:xm="http://schemas.microsoft.com/office/excel/2006/main">
          <x14:cfRule type="dataBar" id="{e0e5c7ab-ae3e-4dac-94d8-975e90381f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R19:Z19</xm:sqref>
        </x14:conditionalFormatting>
        <x14:conditionalFormatting xmlns:xm="http://schemas.microsoft.com/office/excel/2006/main">
          <x14:cfRule type="dataBar" id="{17634760-f266-4682-89c5-eb5f05e41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R3:R15</xm:sqref>
        </x14:conditionalFormatting>
        <x14:conditionalFormatting xmlns:xm="http://schemas.microsoft.com/office/excel/2006/main">
          <x14:cfRule type="dataBar" id="{e17ecb40-d5e3-4565-a969-683333b818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T3:T15</xm:sqref>
        </x14:conditionalFormatting>
        <x14:conditionalFormatting xmlns:xm="http://schemas.microsoft.com/office/excel/2006/main">
          <x14:cfRule type="dataBar" id="{55660422-6c30-4a05-a6c1-dcc473a098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V3:V15</xm:sqref>
        </x14:conditionalFormatting>
        <x14:conditionalFormatting xmlns:xm="http://schemas.microsoft.com/office/excel/2006/main">
          <x14:cfRule type="dataBar" id="{0ccb8173-a81f-4795-af77-04beef2e50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W3:W15</xm:sqref>
        </x14:conditionalFormatting>
        <x14:conditionalFormatting xmlns:xm="http://schemas.microsoft.com/office/excel/2006/main">
          <x14:cfRule type="dataBar" id="{962429e8-f0bd-4e9f-bc8e-39cad2b91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Y3:Y15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2021-10-30T05:11:00Z</dcterms:created>
  <dcterms:modified xsi:type="dcterms:W3CDTF">2021-10-30T08:15:54Z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2AEC7BF1D4A54C90BD760798A8725765</vt:lpwstr>
  </property>
  <property fmtid="{D5CDD505-2E9C-101B-9397-08002B2CF9AE}" pid="3" name="KSOProductBuildVer">
    <vt:lpwstr>1033-11.2.0.10351</vt:lpwstr>
  </property>
</Properties>
</file>